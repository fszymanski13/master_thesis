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Scripts.xml" ContentType="application/vnd.ms-excel.pythonscrip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4"/>
  <workbookPr/>
  <mc:AlternateContent xmlns:mc="http://schemas.openxmlformats.org/markup-compatibility/2006">
    <mc:Choice Requires="x15">
      <x15ac:absPath xmlns:x15ac="http://schemas.microsoft.com/office/spreadsheetml/2010/11/ac" url="C:\Users\olekw\Desktop\Studia\MAG  - WNE - Praca magisterska\master_thesis-main\data\powiaty\"/>
    </mc:Choice>
  </mc:AlternateContent>
  <xr:revisionPtr revIDLastSave="0" documentId="13_ncr:1_{29D8AF38-2134-4D6E-9F03-32EEF980849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ta" sheetId="1" r:id="rId1"/>
    <sheet name="data_raw" sheetId="2" r:id="rId2"/>
    <sheet name="Sheet2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5" i="1" l="1" a="1"/>
  <c r="CM5" i="1" s="1"/>
  <c r="CM6" i="1" a="1"/>
  <c r="CM6" i="1" s="1"/>
  <c r="CM7" i="1" a="1"/>
  <c r="CM7" i="1" s="1"/>
  <c r="CM8" i="1" a="1"/>
  <c r="CM8" i="1" s="1"/>
  <c r="CM9" i="1" a="1"/>
  <c r="CM9" i="1" s="1"/>
  <c r="CM10" i="1" a="1"/>
  <c r="CM10" i="1" s="1"/>
  <c r="CM11" i="1" a="1"/>
  <c r="CM11" i="1" s="1"/>
  <c r="CM12" i="1" a="1"/>
  <c r="CM12" i="1" s="1"/>
  <c r="CM13" i="1" a="1"/>
  <c r="CM13" i="1" s="1"/>
  <c r="CM14" i="1" a="1"/>
  <c r="CM14" i="1" s="1"/>
  <c r="CM15" i="1" a="1"/>
  <c r="CM15" i="1" s="1"/>
  <c r="CM16" i="1" a="1"/>
  <c r="CM16" i="1" s="1"/>
  <c r="CM17" i="1" a="1"/>
  <c r="CM17" i="1" s="1"/>
  <c r="CM18" i="1" a="1"/>
  <c r="CM18" i="1" s="1"/>
  <c r="CM19" i="1" a="1"/>
  <c r="CM19" i="1" s="1"/>
  <c r="CM20" i="1" a="1"/>
  <c r="CM20" i="1" s="1"/>
  <c r="CM21" i="1" a="1"/>
  <c r="CM21" i="1" s="1"/>
  <c r="CM22" i="1" a="1"/>
  <c r="CM22" i="1" s="1"/>
  <c r="CM23" i="1" a="1"/>
  <c r="CM23" i="1" s="1"/>
  <c r="CM24" i="1" a="1"/>
  <c r="CM24" i="1" s="1"/>
  <c r="CM25" i="1" a="1"/>
  <c r="CM25" i="1" s="1"/>
  <c r="CM26" i="1" a="1"/>
  <c r="CM26" i="1" s="1"/>
  <c r="CM27" i="1" a="1"/>
  <c r="CM27" i="1" s="1"/>
  <c r="CM28" i="1" a="1"/>
  <c r="CM28" i="1" s="1"/>
  <c r="CM29" i="1" a="1"/>
  <c r="CM29" i="1" s="1"/>
  <c r="CM30" i="1" a="1"/>
  <c r="CM30" i="1" s="1"/>
  <c r="CM31" i="1" a="1"/>
  <c r="CM31" i="1" s="1"/>
  <c r="CM32" i="1" a="1"/>
  <c r="CM32" i="1" s="1"/>
  <c r="CM33" i="1" a="1"/>
  <c r="CM33" i="1" s="1"/>
  <c r="CM34" i="1" a="1"/>
  <c r="CM34" i="1" s="1"/>
  <c r="CM35" i="1" a="1"/>
  <c r="CM35" i="1" s="1"/>
  <c r="CM36" i="1" a="1"/>
  <c r="CM36" i="1" s="1"/>
  <c r="CM37" i="1" a="1"/>
  <c r="CM37" i="1" s="1"/>
  <c r="CM38" i="1" a="1"/>
  <c r="CM38" i="1" s="1"/>
  <c r="CM39" i="1" a="1"/>
  <c r="CM39" i="1" s="1"/>
  <c r="CM40" i="1" a="1"/>
  <c r="CM40" i="1" s="1"/>
  <c r="CM41" i="1" a="1"/>
  <c r="CM41" i="1" s="1"/>
  <c r="CM42" i="1" a="1"/>
  <c r="CM42" i="1" s="1"/>
  <c r="CM43" i="1" a="1"/>
  <c r="CM43" i="1" s="1"/>
  <c r="CM44" i="1" a="1"/>
  <c r="CM44" i="1" s="1"/>
  <c r="CM45" i="1" a="1"/>
  <c r="CM45" i="1" s="1"/>
  <c r="CM46" i="1" a="1"/>
  <c r="CM46" i="1" s="1"/>
  <c r="CM4" i="1" a="1"/>
  <c r="CM4" i="1" s="1"/>
  <c r="CG5" i="1" a="1"/>
  <c r="CG5" i="1"/>
  <c r="CG6" i="1" a="1"/>
  <c r="CG6" i="1" s="1"/>
  <c r="CG7" i="1" a="1"/>
  <c r="CG7" i="1" s="1"/>
  <c r="CG8" i="1" a="1"/>
  <c r="CG8" i="1"/>
  <c r="CG9" i="1" a="1"/>
  <c r="CG9" i="1" s="1"/>
  <c r="CG10" i="1" a="1"/>
  <c r="CG10" i="1" s="1"/>
  <c r="CG11" i="1" a="1"/>
  <c r="CG11" i="1" s="1"/>
  <c r="CG12" i="1" a="1"/>
  <c r="CG12" i="1"/>
  <c r="CG13" i="1" a="1"/>
  <c r="CG13" i="1" s="1"/>
  <c r="CG14" i="1" a="1"/>
  <c r="CG14" i="1" s="1"/>
  <c r="CG15" i="1" a="1"/>
  <c r="CG15" i="1" s="1"/>
  <c r="CG16" i="1" a="1"/>
  <c r="CG16" i="1" s="1"/>
  <c r="CG17" i="1" a="1"/>
  <c r="CG17" i="1" s="1"/>
  <c r="CG18" i="1" a="1"/>
  <c r="CG18" i="1" s="1"/>
  <c r="CG19" i="1" a="1"/>
  <c r="CG19" i="1" s="1"/>
  <c r="CG20" i="1" a="1"/>
  <c r="CG20" i="1" s="1"/>
  <c r="CG21" i="1" a="1"/>
  <c r="CG21" i="1" s="1"/>
  <c r="CG22" i="1" a="1"/>
  <c r="CG22" i="1" s="1"/>
  <c r="CG23" i="1" a="1"/>
  <c r="CG23" i="1" s="1"/>
  <c r="CG24" i="1" a="1"/>
  <c r="CG24" i="1" s="1"/>
  <c r="CG25" i="1" a="1"/>
  <c r="CG25" i="1" s="1"/>
  <c r="CG26" i="1" a="1"/>
  <c r="CG26" i="1" s="1"/>
  <c r="CG27" i="1" a="1"/>
  <c r="CG27" i="1" s="1"/>
  <c r="CG28" i="1" a="1"/>
  <c r="CG28" i="1" s="1"/>
  <c r="CG29" i="1" a="1"/>
  <c r="CG29" i="1" s="1"/>
  <c r="CG30" i="1" a="1"/>
  <c r="CG30" i="1" s="1"/>
  <c r="CG31" i="1" a="1"/>
  <c r="CG31" i="1" s="1"/>
  <c r="CG32" i="1" a="1"/>
  <c r="CG32" i="1" s="1"/>
  <c r="CG33" i="1" a="1"/>
  <c r="CG33" i="1" s="1"/>
  <c r="CG34" i="1" a="1"/>
  <c r="CG34" i="1" s="1"/>
  <c r="CG35" i="1" a="1"/>
  <c r="CG35" i="1" s="1"/>
  <c r="CG36" i="1" a="1"/>
  <c r="CG36" i="1" s="1"/>
  <c r="CG37" i="1" a="1"/>
  <c r="CG37" i="1" s="1"/>
  <c r="CG38" i="1" a="1"/>
  <c r="CG38" i="1" s="1"/>
  <c r="CG39" i="1" a="1"/>
  <c r="CG39" i="1" s="1"/>
  <c r="CG40" i="1" a="1"/>
  <c r="CG40" i="1"/>
  <c r="CG41" i="1" a="1"/>
  <c r="CG41" i="1" s="1"/>
  <c r="CG42" i="1" a="1"/>
  <c r="CG42" i="1" s="1"/>
  <c r="CG43" i="1" a="1"/>
  <c r="CG43" i="1" s="1"/>
  <c r="CG44" i="1" a="1"/>
  <c r="CG44" i="1" s="1"/>
  <c r="CG45" i="1" a="1"/>
  <c r="CG45" i="1" s="1"/>
  <c r="CG46" i="1" a="1"/>
  <c r="CG46" i="1" s="1"/>
  <c r="CG4" i="1" a="1"/>
  <c r="CG4" i="1" s="1"/>
  <c r="CE5" i="1" a="1"/>
  <c r="CE5" i="1" s="1"/>
  <c r="CE6" i="1" a="1"/>
  <c r="CE6" i="1" s="1"/>
  <c r="CE7" i="1" a="1"/>
  <c r="CE7" i="1" s="1"/>
  <c r="CE8" i="1" a="1"/>
  <c r="CE8" i="1" s="1"/>
  <c r="CE9" i="1" a="1"/>
  <c r="CE9" i="1" s="1"/>
  <c r="CE10" i="1" a="1"/>
  <c r="CE10" i="1" s="1"/>
  <c r="CE11" i="1" a="1"/>
  <c r="CE11" i="1" s="1"/>
  <c r="CE12" i="1" a="1"/>
  <c r="CE12" i="1" s="1"/>
  <c r="CE13" i="1" a="1"/>
  <c r="CE13" i="1" s="1"/>
  <c r="CE14" i="1" a="1"/>
  <c r="CE14" i="1" s="1"/>
  <c r="CE15" i="1" a="1"/>
  <c r="CE15" i="1" s="1"/>
  <c r="CE16" i="1" a="1"/>
  <c r="CE16" i="1" s="1"/>
  <c r="CE17" i="1" a="1"/>
  <c r="CE17" i="1" s="1"/>
  <c r="CE18" i="1" a="1"/>
  <c r="CE18" i="1" s="1"/>
  <c r="CE19" i="1" a="1"/>
  <c r="CE19" i="1" s="1"/>
  <c r="CE20" i="1" a="1"/>
  <c r="CE20" i="1" s="1"/>
  <c r="CE21" i="1" a="1"/>
  <c r="CE21" i="1" s="1"/>
  <c r="CE22" i="1" a="1"/>
  <c r="CE22" i="1" s="1"/>
  <c r="CE23" i="1" a="1"/>
  <c r="CE23" i="1" s="1"/>
  <c r="CE24" i="1" a="1"/>
  <c r="CE24" i="1" s="1"/>
  <c r="CE25" i="1" a="1"/>
  <c r="CE25" i="1" s="1"/>
  <c r="CE26" i="1" a="1"/>
  <c r="CE26" i="1" s="1"/>
  <c r="CE27" i="1" a="1"/>
  <c r="CE27" i="1" s="1"/>
  <c r="CE28" i="1" a="1"/>
  <c r="CE28" i="1" s="1"/>
  <c r="CE29" i="1" a="1"/>
  <c r="CE29" i="1" s="1"/>
  <c r="CE30" i="1" a="1"/>
  <c r="CE30" i="1" s="1"/>
  <c r="CE31" i="1" a="1"/>
  <c r="CE31" i="1" s="1"/>
  <c r="CE32" i="1" a="1"/>
  <c r="CE32" i="1" s="1"/>
  <c r="CE33" i="1" a="1"/>
  <c r="CE33" i="1" s="1"/>
  <c r="CE34" i="1" a="1"/>
  <c r="CE34" i="1" s="1"/>
  <c r="CE35" i="1" a="1"/>
  <c r="CE35" i="1" s="1"/>
  <c r="CE36" i="1" a="1"/>
  <c r="CE36" i="1" s="1"/>
  <c r="CE37" i="1" a="1"/>
  <c r="CE37" i="1" s="1"/>
  <c r="CE38" i="1" a="1"/>
  <c r="CE38" i="1" s="1"/>
  <c r="CE39" i="1" a="1"/>
  <c r="CE39" i="1" s="1"/>
  <c r="CE40" i="1" a="1"/>
  <c r="CE40" i="1" s="1"/>
  <c r="CE41" i="1" a="1"/>
  <c r="CE41" i="1" s="1"/>
  <c r="CE42" i="1" a="1"/>
  <c r="CE42" i="1" s="1"/>
  <c r="CE43" i="1" a="1"/>
  <c r="CE43" i="1" s="1"/>
  <c r="CE44" i="1" a="1"/>
  <c r="CE44" i="1" s="1"/>
  <c r="CE45" i="1" a="1"/>
  <c r="CE45" i="1" s="1"/>
  <c r="CE46" i="1" a="1"/>
  <c r="CE46" i="1" s="1"/>
  <c r="CE4" i="1" a="1"/>
  <c r="CE4" i="1" s="1"/>
  <c r="CD4" i="1" a="1"/>
  <c r="CD4" i="1" s="1"/>
  <c r="BY5" i="1" a="1"/>
  <c r="BY5" i="1" s="1"/>
  <c r="BY6" i="1" a="1"/>
  <c r="BY6" i="1" s="1"/>
  <c r="BY7" i="1" a="1"/>
  <c r="BY7" i="1" s="1"/>
  <c r="BY8" i="1" a="1"/>
  <c r="BY8" i="1" s="1"/>
  <c r="BY9" i="1" a="1"/>
  <c r="BY9" i="1" s="1"/>
  <c r="BY10" i="1" a="1"/>
  <c r="BY10" i="1" s="1"/>
  <c r="BY11" i="1" a="1"/>
  <c r="BY11" i="1" s="1"/>
  <c r="BY12" i="1" a="1"/>
  <c r="BY12" i="1" s="1"/>
  <c r="BY13" i="1" a="1"/>
  <c r="BY13" i="1" s="1"/>
  <c r="BY14" i="1" a="1"/>
  <c r="BY14" i="1" s="1"/>
  <c r="BY15" i="1" a="1"/>
  <c r="BY15" i="1" s="1"/>
  <c r="BY16" i="1" a="1"/>
  <c r="BY16" i="1" s="1"/>
  <c r="BY17" i="1" a="1"/>
  <c r="BY17" i="1" s="1"/>
  <c r="BY18" i="1" a="1"/>
  <c r="BY18" i="1" s="1"/>
  <c r="BY19" i="1" a="1"/>
  <c r="BY19" i="1" s="1"/>
  <c r="BY20" i="1" a="1"/>
  <c r="BY20" i="1" s="1"/>
  <c r="BY21" i="1" a="1"/>
  <c r="BY21" i="1" s="1"/>
  <c r="BY22" i="1" a="1"/>
  <c r="BY22" i="1" s="1"/>
  <c r="BY23" i="1" a="1"/>
  <c r="BY23" i="1" s="1"/>
  <c r="BY24" i="1" a="1"/>
  <c r="BY24" i="1" s="1"/>
  <c r="BY25" i="1" a="1"/>
  <c r="BY25" i="1" s="1"/>
  <c r="BY26" i="1" a="1"/>
  <c r="BY26" i="1" s="1"/>
  <c r="BY27" i="1" a="1"/>
  <c r="BY27" i="1" s="1"/>
  <c r="BY28" i="1" a="1"/>
  <c r="BY28" i="1" s="1"/>
  <c r="BY29" i="1" a="1"/>
  <c r="BY29" i="1" s="1"/>
  <c r="BY30" i="1" a="1"/>
  <c r="BY30" i="1" s="1"/>
  <c r="BY31" i="1" a="1"/>
  <c r="BY31" i="1" s="1"/>
  <c r="BY32" i="1" a="1"/>
  <c r="BY32" i="1" s="1"/>
  <c r="BY33" i="1" a="1"/>
  <c r="BY33" i="1" s="1"/>
  <c r="BY34" i="1" a="1"/>
  <c r="BY34" i="1" s="1"/>
  <c r="BY35" i="1" a="1"/>
  <c r="BY35" i="1" s="1"/>
  <c r="BY36" i="1" a="1"/>
  <c r="BY36" i="1" s="1"/>
  <c r="BY37" i="1" a="1"/>
  <c r="BY37" i="1" s="1"/>
  <c r="BY38" i="1" a="1"/>
  <c r="BY38" i="1" s="1"/>
  <c r="BY39" i="1" a="1"/>
  <c r="BY39" i="1" s="1"/>
  <c r="BY40" i="1" a="1"/>
  <c r="BY40" i="1" s="1"/>
  <c r="BY41" i="1" a="1"/>
  <c r="BY41" i="1" s="1"/>
  <c r="BY42" i="1" a="1"/>
  <c r="BY42" i="1" s="1"/>
  <c r="BY43" i="1" a="1"/>
  <c r="BY43" i="1" s="1"/>
  <c r="BY44" i="1" a="1"/>
  <c r="BY44" i="1" s="1"/>
  <c r="BY45" i="1" a="1"/>
  <c r="BY45" i="1" s="1"/>
  <c r="BY46" i="1" a="1"/>
  <c r="BY46" i="1" s="1"/>
  <c r="BY4" i="1" a="1"/>
  <c r="BY4" i="1" s="1"/>
  <c r="BU5" i="1" a="1"/>
  <c r="BU5" i="1" s="1"/>
  <c r="BU6" i="1" a="1"/>
  <c r="BU6" i="1" s="1"/>
  <c r="BU7" i="1" a="1"/>
  <c r="BU7" i="1" s="1"/>
  <c r="BU8" i="1" a="1"/>
  <c r="BU8" i="1" s="1"/>
  <c r="BU9" i="1" a="1"/>
  <c r="BU9" i="1" s="1"/>
  <c r="BU10" i="1" a="1"/>
  <c r="BU10" i="1" s="1"/>
  <c r="BU11" i="1" a="1"/>
  <c r="BU11" i="1" s="1"/>
  <c r="BU12" i="1" a="1"/>
  <c r="BU12" i="1" s="1"/>
  <c r="BU13" i="1" a="1"/>
  <c r="BU13" i="1" s="1"/>
  <c r="BU14" i="1" a="1"/>
  <c r="BU14" i="1" s="1"/>
  <c r="BU15" i="1" a="1"/>
  <c r="BU15" i="1" s="1"/>
  <c r="BU16" i="1" a="1"/>
  <c r="BU16" i="1" s="1"/>
  <c r="BU17" i="1" a="1"/>
  <c r="BU17" i="1" s="1"/>
  <c r="BU18" i="1" a="1"/>
  <c r="BU18" i="1" s="1"/>
  <c r="BU19" i="1" a="1"/>
  <c r="BU19" i="1" s="1"/>
  <c r="BU20" i="1" a="1"/>
  <c r="BU20" i="1" s="1"/>
  <c r="BU21" i="1" a="1"/>
  <c r="BU21" i="1" s="1"/>
  <c r="BU22" i="1" a="1"/>
  <c r="BU22" i="1" s="1"/>
  <c r="BU23" i="1" a="1"/>
  <c r="BU23" i="1" s="1"/>
  <c r="BU24" i="1" a="1"/>
  <c r="BU24" i="1" s="1"/>
  <c r="BU25" i="1" a="1"/>
  <c r="BU25" i="1" s="1"/>
  <c r="BU26" i="1" a="1"/>
  <c r="BU26" i="1" s="1"/>
  <c r="BU27" i="1" a="1"/>
  <c r="BU27" i="1" s="1"/>
  <c r="BU28" i="1" a="1"/>
  <c r="BU28" i="1" s="1"/>
  <c r="BU29" i="1" a="1"/>
  <c r="BU29" i="1" s="1"/>
  <c r="BU30" i="1" a="1"/>
  <c r="BU30" i="1" s="1"/>
  <c r="BU31" i="1" a="1"/>
  <c r="BU31" i="1" s="1"/>
  <c r="BU32" i="1" a="1"/>
  <c r="BU32" i="1" s="1"/>
  <c r="BU33" i="1" a="1"/>
  <c r="BU33" i="1" s="1"/>
  <c r="BU34" i="1" a="1"/>
  <c r="BU34" i="1" s="1"/>
  <c r="BU35" i="1" a="1"/>
  <c r="BU35" i="1" s="1"/>
  <c r="BU36" i="1" a="1"/>
  <c r="BU36" i="1" s="1"/>
  <c r="BU37" i="1" a="1"/>
  <c r="BU37" i="1" s="1"/>
  <c r="BU38" i="1" a="1"/>
  <c r="BU38" i="1" s="1"/>
  <c r="BU39" i="1" a="1"/>
  <c r="BU39" i="1" s="1"/>
  <c r="BU40" i="1" a="1"/>
  <c r="BU40" i="1" s="1"/>
  <c r="BU41" i="1" a="1"/>
  <c r="BU41" i="1" s="1"/>
  <c r="BU42" i="1" a="1"/>
  <c r="BU42" i="1" s="1"/>
  <c r="BU43" i="1" a="1"/>
  <c r="BU43" i="1" s="1"/>
  <c r="BU44" i="1" a="1"/>
  <c r="BU44" i="1" s="1"/>
  <c r="BU45" i="1" a="1"/>
  <c r="BU45" i="1" s="1"/>
  <c r="BU46" i="1" a="1"/>
  <c r="BU46" i="1" s="1"/>
  <c r="BU4" i="1" a="1"/>
  <c r="BU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" i="1" a="1"/>
  <c r="M4" i="1" s="1"/>
  <c r="L4" i="1" a="1"/>
  <c r="L4" i="1" s="1"/>
  <c r="K4" i="1" a="1"/>
  <c r="K4" i="1" s="1"/>
  <c r="I4" i="1" a="1"/>
  <c r="I4" i="1" s="1"/>
  <c r="H4" i="1" a="1"/>
  <c r="H4" i="1" s="1"/>
  <c r="J4" i="1" a="1"/>
  <c r="J4" i="1" s="1"/>
  <c r="G4" i="1" a="1"/>
  <c r="G4" i="1" s="1"/>
  <c r="F4" i="1" a="1"/>
  <c r="F4" i="1" s="1"/>
  <c r="E4" i="1" a="1"/>
  <c r="E4" i="1" s="1"/>
  <c r="D4" i="1" a="1"/>
  <c r="D4" i="1" s="1"/>
  <c r="C4" i="1" a="1"/>
  <c r="C4" i="1" s="1"/>
  <c r="B2" i="3" a="1"/>
  <c r="B2" i="3" l="1"/>
  <c r="B3" i="3" a="1"/>
  <c r="B4" i="3" a="1"/>
  <c r="B3" i="3" l="1"/>
  <c r="B4" i="3"/>
  <c r="B5" i="3" a="1"/>
  <c r="B5" i="3" l="1"/>
  <c r="C5" i="3" s="1" a="1"/>
  <c r="C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Scripts.xml><?xml version="1.0" encoding="utf-8"?>
<pythonScripts xmlns="http://schemas.microsoft.com/office/spreadsheetml/2022/pythonscript">
  <pythonScript>
    <code xml:space="preserve">df = xl(%P2%, headers=True)
</code>
  </pythonScript>
  <pythonScript>
    <code>import seaborn as sns</code>
  </pythonScript>
  <pythonScript>
    <code>df.describe()</code>
  </pythonScript>
  <pythonScript>
    <code xml:space="preserve">sns.violinplot(x=df['nakĹ‚ady inwestycyjne w przedsiÄ™biorstwach na 1 mieszkaĹ„ca;2012;[zĹ‚]'], color='lightcoral')
</code>
  </pythonScript>
</pythonScripts>
</file>

<file path=xl/sharedStrings.xml><?xml version="1.0" encoding="utf-8"?>
<sst xmlns="http://schemas.openxmlformats.org/spreadsheetml/2006/main" count="440" uniqueCount="134">
  <si>
    <t>Kod</t>
  </si>
  <si>
    <t>Nazwa</t>
  </si>
  <si>
    <t>MAZOWIECKIE</t>
  </si>
  <si>
    <t>Powiat biaĹ‚obrzeski</t>
  </si>
  <si>
    <t>Powiat ciechanowski</t>
  </si>
  <si>
    <t>Powiat garwoliĹ„ski</t>
  </si>
  <si>
    <t>Powiat gostyniĹ„ski</t>
  </si>
  <si>
    <t>Powiat grodziski</t>
  </si>
  <si>
    <t>Powiat grĂłjecki</t>
  </si>
  <si>
    <t>Powiat kozienicki</t>
  </si>
  <si>
    <t>Powiat legionowski</t>
  </si>
  <si>
    <t>Powiat lipski</t>
  </si>
  <si>
    <t>Powiat Ĺ‚osicki</t>
  </si>
  <si>
    <t>Powiat makowski</t>
  </si>
  <si>
    <t>Powiat miĹ„ski</t>
  </si>
  <si>
    <t>Powiat mĹ‚awski</t>
  </si>
  <si>
    <t>Powiat nowodworski</t>
  </si>
  <si>
    <t>Powiat ostroĹ‚Ä™cki</t>
  </si>
  <si>
    <t>Powiat ostrowski</t>
  </si>
  <si>
    <t>Powiat otwocki</t>
  </si>
  <si>
    <t>Powiat piaseczyĹ„ski</t>
  </si>
  <si>
    <t>Powiat pĹ‚ocki</t>
  </si>
  <si>
    <t>Powiat pĹ‚oĹ„ski</t>
  </si>
  <si>
    <t>Powiat pruszkowski</t>
  </si>
  <si>
    <t>Powiat przasnyski</t>
  </si>
  <si>
    <t>Powiat przysuski</t>
  </si>
  <si>
    <t>Powiat puĹ‚tuski</t>
  </si>
  <si>
    <t>Powiat radomski</t>
  </si>
  <si>
    <t>Powiat siedlecki</t>
  </si>
  <si>
    <t>Powiat sierpecki</t>
  </si>
  <si>
    <t>Powiat sochaczewski</t>
  </si>
  <si>
    <t>Powiat sokoĹ‚owski</t>
  </si>
  <si>
    <t>Powiat szydĹ‚owiecki</t>
  </si>
  <si>
    <t>Powiat warszawski zachodni</t>
  </si>
  <si>
    <t>Powiat wÄ™growski</t>
  </si>
  <si>
    <t>Powiat woĹ‚omiĹ„ski</t>
  </si>
  <si>
    <t>Powiat wyszkowski</t>
  </si>
  <si>
    <t>Powiat zwoleĹ„ski</t>
  </si>
  <si>
    <t>Powiat ĹĽuromiĹ„ski</t>
  </si>
  <si>
    <t>Powiat ĹĽyrardowski</t>
  </si>
  <si>
    <t>ogĂłĹ‚em;2012;[zĹ‚]</t>
  </si>
  <si>
    <t>dochody razem;2012;[zĹ‚]</t>
  </si>
  <si>
    <t>nakĹ‚ady inwestycyjne w przedsiÄ™biorstwach na 1 mieszkaĹ„ca;2012;[zĹ‚]</t>
  </si>
  <si>
    <t>wartoĹ›Ä‡ brutto Ĺ›rodkĂłw trwaĹ‚ych w przedsiÄ™biorstwach na 1 mieszkaĹ„ca;2012;[zĹ‚]</t>
  </si>
  <si>
    <t>Powiat m. OstroĹ‚Ä™ka</t>
  </si>
  <si>
    <t>Powiat m. PĹ‚ock</t>
  </si>
  <si>
    <t>Powiat m. Radom</t>
  </si>
  <si>
    <t>Powiat m. Siedlce</t>
  </si>
  <si>
    <t>Powiat m. st. Warszawa</t>
  </si>
  <si>
    <t>muzea Ĺ‚Ä…cznie z oddziaĹ‚ami;2012;[ob.]</t>
  </si>
  <si>
    <t>zwiedzajÄ…cy muzea i oddziaĹ‚y na 10 tys. mieszkaĹ„cĂłw;2012;[osoba]</t>
  </si>
  <si>
    <t>liczba ludnoĹ›ci na 1 miejsce w kinach staĹ‚ych;2012;[osoba]</t>
  </si>
  <si>
    <t>ludnoĹ›Ä‡ na 1 placĂłwkÄ™ bibliotecznÄ… (Ĺ‚Ä…cznie z punktami bibliotecznymi ujÄ™tymi zgodnie z siedzibÄ… jednostki macierzystej);2012;[osoba]</t>
  </si>
  <si>
    <t>wypoĹĽyczenia ksiÄ™gozbioru na 1 czytelnika w woluminach;2012;[wol.]</t>
  </si>
  <si>
    <t>ogĂłĹ‚em;ogĂłĹ‚em;2012;[osoba]</t>
  </si>
  <si>
    <t>ogĂłĹ‚em;mÄ™ĹĽczyĹşni;2012;[osoba]</t>
  </si>
  <si>
    <t>ogĂłĹ‚em;kobiety;2012;[osoba]</t>
  </si>
  <si>
    <t>0-4;ogĂłĹ‚em;2012;[osoba]</t>
  </si>
  <si>
    <t>0-4;mÄ™ĹĽczyĹşni;2012;[osoba]</t>
  </si>
  <si>
    <t>0-4;kobiety;2012;[osoba]</t>
  </si>
  <si>
    <t>5-9;ogĂłĹ‚em;2012;[osoba]</t>
  </si>
  <si>
    <t>5-9;mÄ™ĹĽczyĹşni;2012;[osoba]</t>
  </si>
  <si>
    <t>5-9;kobiety;2012;[osoba]</t>
  </si>
  <si>
    <t>10-14;ogĂłĹ‚em;2012;[osoba]</t>
  </si>
  <si>
    <t>10-14;mÄ™ĹĽczyĹşni;2012;[osoba]</t>
  </si>
  <si>
    <t>10-14;kobiety;2012;[osoba]</t>
  </si>
  <si>
    <t>15-19;ogĂłĹ‚em;2012;[osoba]</t>
  </si>
  <si>
    <t>15-19;mÄ™ĹĽczyĹşni;2012;[osoba]</t>
  </si>
  <si>
    <t>15-19;kobiety;2012;[osoba]</t>
  </si>
  <si>
    <t>20-24;ogĂłĹ‚em;2012;[osoba]</t>
  </si>
  <si>
    <t>20-24;mÄ™ĹĽczyĹşni;2012;[osoba]</t>
  </si>
  <si>
    <t>20-24;kobiety;2012;[osoba]</t>
  </si>
  <si>
    <t>25-29;ogĂłĹ‚em;2012;[osoba]</t>
  </si>
  <si>
    <t>25-29;mÄ™ĹĽczyĹşni;2012;[osoba]</t>
  </si>
  <si>
    <t>25-29;kobiety;2012;[osoba]</t>
  </si>
  <si>
    <t>30-34;ogĂłĹ‚em;2012;[osoba]</t>
  </si>
  <si>
    <t>30-34;mÄ™ĹĽczyĹşni;2012;[osoba]</t>
  </si>
  <si>
    <t>30-34;kobiety;2012;[osoba]</t>
  </si>
  <si>
    <t>35-39;ogĂłĹ‚em;2012;[osoba]</t>
  </si>
  <si>
    <t>35-39;mÄ™ĹĽczyĹşni;2012;[osoba]</t>
  </si>
  <si>
    <t>35-39;kobiety;2012;[osoba]</t>
  </si>
  <si>
    <t>40-44;ogĂłĹ‚em;2012;[osoba]</t>
  </si>
  <si>
    <t>40-44;mÄ™ĹĽczyĹşni;2012;[osoba]</t>
  </si>
  <si>
    <t>40-44;kobiety;2012;[osoba]</t>
  </si>
  <si>
    <t>45-49;ogĂłĹ‚em;2012;[osoba]</t>
  </si>
  <si>
    <t>45-49;mÄ™ĹĽczyĹşni;2012;[osoba]</t>
  </si>
  <si>
    <t>45-49;kobiety;2012;[osoba]</t>
  </si>
  <si>
    <t>50-54;ogĂłĹ‚em;2012;[osoba]</t>
  </si>
  <si>
    <t>50-54;mÄ™ĹĽczyĹşni;2012;[osoba]</t>
  </si>
  <si>
    <t>50-54;kobiety;2012;[osoba]</t>
  </si>
  <si>
    <t>55-59;ogĂłĹ‚em;2012;[osoba]</t>
  </si>
  <si>
    <t>55-59;mÄ™ĹĽczyĹşni;2012;[osoba]</t>
  </si>
  <si>
    <t>55-59;kobiety;2012;[osoba]</t>
  </si>
  <si>
    <t>60-64;ogĂłĹ‚em;2012;[osoba]</t>
  </si>
  <si>
    <t>60-64;mÄ™ĹĽczyĹşni;2012;[osoba]</t>
  </si>
  <si>
    <t>60-64;kobiety;2012;[osoba]</t>
  </si>
  <si>
    <t>65-69;ogĂłĹ‚em;2012;[osoba]</t>
  </si>
  <si>
    <t>65-69;mÄ™ĹĽczyĹşni;2012;[osoba]</t>
  </si>
  <si>
    <t>65-69;kobiety;2012;[osoba]</t>
  </si>
  <si>
    <t>70 i wiÄ™cej;ogĂłĹ‚em;2012;[osoba]</t>
  </si>
  <si>
    <t>70 i wiÄ™cej;mÄ™ĹĽczyĹşni;2012;[osoba]</t>
  </si>
  <si>
    <t>70 i wiÄ™cej;kobiety;2012;[osoba]</t>
  </si>
  <si>
    <t>70-74;ogĂłĹ‚em;2012;[osoba]</t>
  </si>
  <si>
    <t>70-74;mÄ™ĹĽczyĹşni;2012;[osoba]</t>
  </si>
  <si>
    <t>70-74;kobiety;2012;[osoba]</t>
  </si>
  <si>
    <t>75-79;ogĂłĹ‚em;2012;[osoba]</t>
  </si>
  <si>
    <t>75-79;mÄ™ĹĽczyĹşni;2012;[osoba]</t>
  </si>
  <si>
    <t>75-79;kobiety;2012;[osoba]</t>
  </si>
  <si>
    <t>80-84;ogĂłĹ‚em;2012;[osoba]</t>
  </si>
  <si>
    <t>80-84;mÄ™ĹĽczyĹşni;2012;[osoba]</t>
  </si>
  <si>
    <t>80-84;kobiety;2012;[osoba]</t>
  </si>
  <si>
    <t>85 i wiÄ™cej;ogĂłĹ‚em;2012;[osoba]</t>
  </si>
  <si>
    <t>85 i wiÄ™cej;mÄ™ĹĽczyĹşni;2012;[osoba]</t>
  </si>
  <si>
    <t>85 i wiÄ™cej;kobiety;2012;[osoba]</t>
  </si>
  <si>
    <t>ogĂłĹ‚em;2012;[-]</t>
  </si>
  <si>
    <t>przestÄ™pstwa stwierdzone przez PolicjÄ™ ogĂłĹ‚em na 1000 mieszkaĹ„cĂłw;2012;[-]</t>
  </si>
  <si>
    <t>przestÄ™pstwa stwierdzone przez PolicjÄ™ o charakterze kryminalnym na 1000 mieszkaĹ„cĂłw;2012;[-]</t>
  </si>
  <si>
    <t>przestÄ™pstwa stwierdzone przez PolicjÄ™ o charakterze gospodarczym na 1000 mieszkaĹ„cĂłw;2012;[-]</t>
  </si>
  <si>
    <t>ogĂłĹ‚em;ogĂłĹ‚em;2012;[szt.]</t>
  </si>
  <si>
    <t>ogĂłĹ‚em;do 40 m2;2012;[szt.]</t>
  </si>
  <si>
    <t>ogĂłĹ‚em;od 40,1 do 60 m2;2012;[szt.]</t>
  </si>
  <si>
    <t>ogĂłĹ‚em;od 60,1 do 80 m2;2012;[szt.]</t>
  </si>
  <si>
    <t>ogĂłĹ‚em;od 80,1 m2;2012;[szt.]</t>
  </si>
  <si>
    <t>ogĂłĹ‚em;2012;[%]</t>
  </si>
  <si>
    <t>udziaĹ‚ wypadkĂłw w ogĂłĹ‚em (Polska=100);2012;[%]</t>
  </si>
  <si>
    <t>poszkodowani w wypadkach przy pracy na 1000 pracujÄ…cych ogĂłĹ‚em;2012;[osoba]</t>
  </si>
  <si>
    <t>studenci ogĂłĹ‚em;2012;[osoba]</t>
  </si>
  <si>
    <t>studenci kobiety;2012;[osoba]</t>
  </si>
  <si>
    <t>studenci mÄ™ĹĽczyĹşni;2012;[osoba]</t>
  </si>
  <si>
    <t>absolwenci ogĂłĹ‚em;2012;[osoba]</t>
  </si>
  <si>
    <t>absolwenci kobiety;2012;[osoba]</t>
  </si>
  <si>
    <t>absolwenci mÄ™ĹĽczyĹşni;2012;[osoba]</t>
  </si>
  <si>
    <t>przeciÄ™tne miesiÄ™czne wynagrodzenia brutto w relacji do Ĺ›redniej krajowej (Polska=100);2012;[%]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</si>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</sst>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26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microsoft.com/office/2017/06/relationships/rdArray" Target="richData/rdarray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microsoft.com/office/2017/06/relationships/rdRichValueStructure" Target="richData/rdrichvaluestructure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microsoft.com/office/2017/06/relationships/rdRichValue" Target="richData/rdrichvalue.xml"/><Relationship Id="rId28" Type="http://schemas.microsoft.com/office/2017/06/relationships/rdSupportingPropertyBag" Target="richData/rdsupportingpropertybag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31" Type="http://schemas.microsoft.com/office/2022/03/relationships/PythonScripts" Target="pythonScript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microsoft.com/office/2022/10/relationships/richValueRel" Target="richData/richValueRel.xml"/><Relationship Id="rId27" Type="http://schemas.microsoft.com/office/2017/06/relationships/rdSupportingPropertyBagStructure" Target="richData/rdsupportingpropertybagstructure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47625</xdr:rowOff>
    </xdr:from>
    <xdr:to>
      <xdr:col>9</xdr:col>
      <xdr:colOff>114300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E5B9C-A455-0024-FA8B-8FEB695268E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2!C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00125"/>
          <a:ext cx="4991100" cy="4143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FINA_2414_CTAB_20231228112039.csv" TargetMode="External"/><Relationship Id="rId1" Type="http://schemas.openxmlformats.org/officeDocument/2006/relationships/externalLinkPath" Target="FINA_2414_CTAB_20231228112039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KULT_1679_CTAB_20231228113019.csv" TargetMode="External"/><Relationship Id="rId1" Type="http://schemas.openxmlformats.org/officeDocument/2006/relationships/externalLinkPath" Target="KULT_1679_CTAB_20231228113019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FINA_2410_CTAB_20231228112558.csv" TargetMode="External"/><Relationship Id="rId1" Type="http://schemas.openxmlformats.org/officeDocument/2006/relationships/externalLinkPath" Target="FINA_2410_CTAB_20231228112558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FINA_2910_CTAB_20231228112716.csv" TargetMode="External"/><Relationship Id="rId1" Type="http://schemas.openxmlformats.org/officeDocument/2006/relationships/externalLinkPath" Target="FINA_2910_CTAB_20231228112716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INWE_2755_CTAB_20231228112811.csv" TargetMode="External"/><Relationship Id="rId1" Type="http://schemas.openxmlformats.org/officeDocument/2006/relationships/externalLinkPath" Target="INWE_2755_CTAB_20231228112811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KULT_2364_CTAB_20231228113055.csv" TargetMode="External"/><Relationship Id="rId1" Type="http://schemas.openxmlformats.org/officeDocument/2006/relationships/externalLinkPath" Target="KULT_2364_CTAB_20231228113055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KULT_2381_CTAB_20231228113151.csv" TargetMode="External"/><Relationship Id="rId1" Type="http://schemas.openxmlformats.org/officeDocument/2006/relationships/externalLinkPath" Target="KULT_2381_CTAB_20231228113151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LUDN_2137_CTAB_20231228113344.csv" TargetMode="External"/><Relationship Id="rId1" Type="http://schemas.openxmlformats.org/officeDocument/2006/relationships/externalLinkPath" Target="LUDN_2137_CTAB_20231228113344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ORGA_3362_CTAB_20231228113847.csv" TargetMode="External"/><Relationship Id="rId1" Type="http://schemas.openxmlformats.org/officeDocument/2006/relationships/externalLinkPath" Target="ORGA_3362_CTAB_20231228113847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RYNE_3783_CTAB_20231228114052.csv" TargetMode="External"/><Relationship Id="rId1" Type="http://schemas.openxmlformats.org/officeDocument/2006/relationships/externalLinkPath" Target="RYNE_3783_CTAB_20231228114052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RYNE_2392_CTAB_20231228114250.csv" TargetMode="External"/><Relationship Id="rId1" Type="http://schemas.openxmlformats.org/officeDocument/2006/relationships/externalLinkPath" Target="RYNE_2392_CTAB_20231228114250.csv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RYNE_2276_CTAB_20231228114425.csv" TargetMode="External"/><Relationship Id="rId1" Type="http://schemas.openxmlformats.org/officeDocument/2006/relationships/externalLinkPath" Target="RYNE_2276_CTAB_20231228114425.csv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SZKO_3226_CTAB_20231228114632.csv" TargetMode="External"/><Relationship Id="rId1" Type="http://schemas.openxmlformats.org/officeDocument/2006/relationships/externalLinkPath" Target="SZKO_3226_CTAB_20231228114632.csv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ekw\Desktop\Studia\MAG%20%20-%20WNE%20-%20Praca%20magisterska\master_thesis-main\data\powiaty\WYNA_2497_CTAB_20231228114756.csv" TargetMode="External"/><Relationship Id="rId1" Type="http://schemas.openxmlformats.org/officeDocument/2006/relationships/externalLinkPath" Target="WYNA_2497_CTAB_20231228114756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_2414_CTAB_20231228112039"/>
    </sheetNames>
    <sheetDataSet>
      <sheetData sheetId="0" refreshError="1">
        <row r="2">
          <cell r="A2">
            <v>1400000</v>
          </cell>
          <cell r="C2">
            <v>866.61</v>
          </cell>
        </row>
        <row r="3">
          <cell r="A3">
            <v>1401000</v>
          </cell>
          <cell r="C3">
            <v>1006.68</v>
          </cell>
        </row>
        <row r="4">
          <cell r="A4">
            <v>1402000</v>
          </cell>
          <cell r="C4">
            <v>929.16</v>
          </cell>
        </row>
        <row r="5">
          <cell r="A5">
            <v>1403000</v>
          </cell>
          <cell r="C5">
            <v>929.12</v>
          </cell>
        </row>
        <row r="6">
          <cell r="A6">
            <v>1404000</v>
          </cell>
          <cell r="C6">
            <v>992.63</v>
          </cell>
        </row>
        <row r="7">
          <cell r="A7">
            <v>1405000</v>
          </cell>
          <cell r="C7">
            <v>814.44</v>
          </cell>
        </row>
        <row r="8">
          <cell r="A8">
            <v>1406000</v>
          </cell>
          <cell r="C8">
            <v>896.62</v>
          </cell>
        </row>
        <row r="9">
          <cell r="A9">
            <v>1407000</v>
          </cell>
          <cell r="C9">
            <v>1047.6099999999999</v>
          </cell>
        </row>
        <row r="10">
          <cell r="A10">
            <v>1408000</v>
          </cell>
          <cell r="C10">
            <v>734.25</v>
          </cell>
        </row>
        <row r="11">
          <cell r="A11">
            <v>1409000</v>
          </cell>
          <cell r="C11">
            <v>1289.51</v>
          </cell>
        </row>
        <row r="12">
          <cell r="A12">
            <v>1410000</v>
          </cell>
          <cell r="C12">
            <v>1064.74</v>
          </cell>
        </row>
        <row r="13">
          <cell r="A13">
            <v>1411000</v>
          </cell>
          <cell r="C13">
            <v>983.58</v>
          </cell>
        </row>
        <row r="14">
          <cell r="A14">
            <v>1412000</v>
          </cell>
          <cell r="C14">
            <v>838.84</v>
          </cell>
        </row>
        <row r="15">
          <cell r="A15">
            <v>1413000</v>
          </cell>
          <cell r="C15">
            <v>803.16</v>
          </cell>
        </row>
        <row r="16">
          <cell r="A16">
            <v>1414000</v>
          </cell>
          <cell r="C16">
            <v>679.52</v>
          </cell>
        </row>
        <row r="17">
          <cell r="A17">
            <v>1415000</v>
          </cell>
          <cell r="C17">
            <v>779.76</v>
          </cell>
        </row>
        <row r="18">
          <cell r="A18">
            <v>1416000</v>
          </cell>
          <cell r="C18">
            <v>822.57</v>
          </cell>
        </row>
        <row r="19">
          <cell r="A19">
            <v>1417000</v>
          </cell>
          <cell r="C19">
            <v>848.16</v>
          </cell>
        </row>
        <row r="20">
          <cell r="A20">
            <v>1418000</v>
          </cell>
          <cell r="C20">
            <v>990.4</v>
          </cell>
        </row>
        <row r="21">
          <cell r="A21">
            <v>1419000</v>
          </cell>
          <cell r="C21">
            <v>766.71</v>
          </cell>
        </row>
        <row r="22">
          <cell r="A22">
            <v>1420000</v>
          </cell>
          <cell r="C22">
            <v>876.78</v>
          </cell>
        </row>
        <row r="23">
          <cell r="A23">
            <v>1421000</v>
          </cell>
          <cell r="C23">
            <v>777.1</v>
          </cell>
        </row>
        <row r="24">
          <cell r="A24">
            <v>1422000</v>
          </cell>
          <cell r="C24">
            <v>1225.06</v>
          </cell>
        </row>
        <row r="25">
          <cell r="A25">
            <v>1423000</v>
          </cell>
          <cell r="C25">
            <v>1394.79</v>
          </cell>
        </row>
        <row r="26">
          <cell r="A26">
            <v>1424000</v>
          </cell>
          <cell r="C26">
            <v>1076.68</v>
          </cell>
        </row>
        <row r="27">
          <cell r="A27">
            <v>1425000</v>
          </cell>
          <cell r="C27">
            <v>743.63</v>
          </cell>
        </row>
        <row r="28">
          <cell r="A28">
            <v>1426000</v>
          </cell>
          <cell r="C28">
            <v>486.79</v>
          </cell>
        </row>
        <row r="29">
          <cell r="A29">
            <v>1427000</v>
          </cell>
          <cell r="C29">
            <v>1019.62</v>
          </cell>
        </row>
        <row r="30">
          <cell r="A30">
            <v>1428000</v>
          </cell>
          <cell r="C30">
            <v>889.64</v>
          </cell>
        </row>
        <row r="31">
          <cell r="A31">
            <v>1429000</v>
          </cell>
          <cell r="C31">
            <v>1073.1199999999999</v>
          </cell>
        </row>
        <row r="32">
          <cell r="A32">
            <v>1430000</v>
          </cell>
          <cell r="C32">
            <v>844.53</v>
          </cell>
        </row>
        <row r="33">
          <cell r="A33">
            <v>1432000</v>
          </cell>
          <cell r="C33">
            <v>1002.97</v>
          </cell>
        </row>
        <row r="34">
          <cell r="A34">
            <v>1433000</v>
          </cell>
          <cell r="C34">
            <v>817.27</v>
          </cell>
        </row>
        <row r="35">
          <cell r="A35">
            <v>1434000</v>
          </cell>
          <cell r="C35">
            <v>669.51</v>
          </cell>
        </row>
        <row r="36">
          <cell r="A36">
            <v>1435000</v>
          </cell>
          <cell r="C36">
            <v>1017.92</v>
          </cell>
        </row>
        <row r="37">
          <cell r="A37">
            <v>1436000</v>
          </cell>
          <cell r="C37">
            <v>826.35</v>
          </cell>
        </row>
        <row r="38">
          <cell r="A38">
            <v>1437000</v>
          </cell>
          <cell r="C38">
            <v>1055.3699999999999</v>
          </cell>
        </row>
        <row r="39">
          <cell r="A39">
            <v>1438000</v>
          </cell>
          <cell r="C39">
            <v>678.63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LT_1679_CTAB_20231228113019"/>
    </sheetNames>
    <sheetDataSet>
      <sheetData sheetId="0" refreshError="1">
        <row r="2">
          <cell r="A2">
            <v>1400000</v>
          </cell>
          <cell r="C2">
            <v>115</v>
          </cell>
          <cell r="D2">
            <v>12578.1</v>
          </cell>
        </row>
        <row r="3">
          <cell r="A3">
            <v>1402000</v>
          </cell>
          <cell r="C3">
            <v>3</v>
          </cell>
          <cell r="D3">
            <v>2921.8</v>
          </cell>
        </row>
        <row r="4">
          <cell r="A4">
            <v>1403000</v>
          </cell>
          <cell r="C4">
            <v>1</v>
          </cell>
          <cell r="D4">
            <v>129</v>
          </cell>
        </row>
        <row r="5">
          <cell r="A5">
            <v>1405000</v>
          </cell>
          <cell r="C5">
            <v>1</v>
          </cell>
          <cell r="D5">
            <v>422</v>
          </cell>
        </row>
        <row r="6">
          <cell r="A6">
            <v>1406000</v>
          </cell>
          <cell r="C6">
            <v>2</v>
          </cell>
          <cell r="D6">
            <v>153.19999999999999</v>
          </cell>
        </row>
        <row r="7">
          <cell r="A7">
            <v>1407000</v>
          </cell>
          <cell r="C7">
            <v>2</v>
          </cell>
          <cell r="D7">
            <v>1486.5</v>
          </cell>
        </row>
        <row r="8">
          <cell r="A8">
            <v>1408000</v>
          </cell>
          <cell r="C8">
            <v>1</v>
          </cell>
          <cell r="D8">
            <v>655.7</v>
          </cell>
        </row>
        <row r="9">
          <cell r="A9">
            <v>1411000</v>
          </cell>
          <cell r="C9">
            <v>1</v>
          </cell>
          <cell r="D9">
            <v>255.9</v>
          </cell>
        </row>
        <row r="10">
          <cell r="A10">
            <v>1412000</v>
          </cell>
          <cell r="C10">
            <v>4</v>
          </cell>
          <cell r="D10">
            <v>854.8</v>
          </cell>
        </row>
        <row r="11">
          <cell r="A11">
            <v>1413000</v>
          </cell>
          <cell r="C11">
            <v>1</v>
          </cell>
          <cell r="D11">
            <v>1233.7</v>
          </cell>
        </row>
        <row r="12">
          <cell r="A12">
            <v>1414000</v>
          </cell>
          <cell r="C12">
            <v>1</v>
          </cell>
          <cell r="D12">
            <v>2612.3000000000002</v>
          </cell>
        </row>
        <row r="13">
          <cell r="A13">
            <v>1415000</v>
          </cell>
          <cell r="C13">
            <v>1</v>
          </cell>
          <cell r="D13">
            <v>843.7</v>
          </cell>
        </row>
        <row r="14">
          <cell r="A14">
            <v>1417000</v>
          </cell>
          <cell r="C14">
            <v>1</v>
          </cell>
          <cell r="D14">
            <v>409.2</v>
          </cell>
        </row>
        <row r="15">
          <cell r="A15">
            <v>1418000</v>
          </cell>
          <cell r="C15">
            <v>1</v>
          </cell>
          <cell r="D15">
            <v>452.9</v>
          </cell>
        </row>
        <row r="16">
          <cell r="A16">
            <v>1421000</v>
          </cell>
          <cell r="C16">
            <v>2</v>
          </cell>
          <cell r="D16">
            <v>244.5</v>
          </cell>
        </row>
        <row r="17">
          <cell r="A17">
            <v>1422000</v>
          </cell>
          <cell r="C17">
            <v>1</v>
          </cell>
          <cell r="D17">
            <v>513.4</v>
          </cell>
        </row>
        <row r="18">
          <cell r="A18">
            <v>1423000</v>
          </cell>
          <cell r="C18">
            <v>1</v>
          </cell>
          <cell r="D18">
            <v>862.4</v>
          </cell>
        </row>
        <row r="19">
          <cell r="A19">
            <v>1424000</v>
          </cell>
          <cell r="C19">
            <v>1</v>
          </cell>
          <cell r="D19">
            <v>1395.3</v>
          </cell>
        </row>
        <row r="20">
          <cell r="A20">
            <v>1425000</v>
          </cell>
          <cell r="C20">
            <v>2</v>
          </cell>
          <cell r="D20">
            <v>795</v>
          </cell>
        </row>
        <row r="21">
          <cell r="A21">
            <v>1426000</v>
          </cell>
          <cell r="C21">
            <v>1</v>
          </cell>
          <cell r="D21">
            <v>78.3</v>
          </cell>
        </row>
        <row r="22">
          <cell r="A22">
            <v>1427000</v>
          </cell>
          <cell r="C22">
            <v>1</v>
          </cell>
          <cell r="D22">
            <v>9699.9</v>
          </cell>
        </row>
        <row r="23">
          <cell r="A23">
            <v>1428000</v>
          </cell>
          <cell r="C23">
            <v>4</v>
          </cell>
          <cell r="D23">
            <v>24482.6</v>
          </cell>
        </row>
        <row r="24">
          <cell r="A24">
            <v>1429000</v>
          </cell>
          <cell r="C24">
            <v>1</v>
          </cell>
          <cell r="D24">
            <v>9155.4</v>
          </cell>
        </row>
        <row r="25">
          <cell r="A25">
            <v>1430000</v>
          </cell>
          <cell r="C25">
            <v>2</v>
          </cell>
          <cell r="D25">
            <v>3760.8</v>
          </cell>
        </row>
        <row r="26">
          <cell r="A26">
            <v>1432000</v>
          </cell>
          <cell r="C26">
            <v>2</v>
          </cell>
          <cell r="D26">
            <v>1290.0999999999999</v>
          </cell>
        </row>
        <row r="27">
          <cell r="A27">
            <v>1433000</v>
          </cell>
          <cell r="C27">
            <v>2</v>
          </cell>
          <cell r="D27">
            <v>2093.3000000000002</v>
          </cell>
        </row>
        <row r="28">
          <cell r="A28">
            <v>1434000</v>
          </cell>
          <cell r="C28">
            <v>2</v>
          </cell>
          <cell r="D28">
            <v>118.6</v>
          </cell>
        </row>
        <row r="29">
          <cell r="A29">
            <v>1436000</v>
          </cell>
          <cell r="C29">
            <v>2</v>
          </cell>
          <cell r="D29">
            <v>8424.4</v>
          </cell>
        </row>
        <row r="30">
          <cell r="A30">
            <v>1437000</v>
          </cell>
          <cell r="C30">
            <v>1</v>
          </cell>
          <cell r="D30">
            <v>413.4</v>
          </cell>
        </row>
        <row r="31">
          <cell r="A31">
            <v>1438000</v>
          </cell>
          <cell r="C31">
            <v>2</v>
          </cell>
          <cell r="D31">
            <v>708.2</v>
          </cell>
        </row>
        <row r="32">
          <cell r="A32">
            <v>1461000</v>
          </cell>
          <cell r="C32">
            <v>1</v>
          </cell>
          <cell r="D32">
            <v>2152.6999999999998</v>
          </cell>
        </row>
        <row r="33">
          <cell r="A33">
            <v>1462000</v>
          </cell>
          <cell r="C33">
            <v>2</v>
          </cell>
          <cell r="D33">
            <v>6000.3</v>
          </cell>
        </row>
        <row r="34">
          <cell r="A34">
            <v>1463000</v>
          </cell>
          <cell r="C34">
            <v>3</v>
          </cell>
          <cell r="D34">
            <v>3147.9</v>
          </cell>
        </row>
        <row r="35">
          <cell r="A35">
            <v>1464000</v>
          </cell>
          <cell r="C35">
            <v>1</v>
          </cell>
          <cell r="D35">
            <v>937.4</v>
          </cell>
        </row>
        <row r="36">
          <cell r="A36">
            <v>1465000</v>
          </cell>
          <cell r="C36">
            <v>61</v>
          </cell>
          <cell r="D36">
            <v>34800.699999999997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_2410_CTAB_20231228112558"/>
    </sheetNames>
    <sheetDataSet>
      <sheetData sheetId="0" refreshError="1">
        <row r="2">
          <cell r="A2">
            <v>1400000</v>
          </cell>
          <cell r="C2">
            <v>859.19</v>
          </cell>
        </row>
        <row r="3">
          <cell r="A3">
            <v>1401000</v>
          </cell>
          <cell r="C3">
            <v>970.87</v>
          </cell>
        </row>
        <row r="4">
          <cell r="A4">
            <v>1402000</v>
          </cell>
          <cell r="C4">
            <v>937.63</v>
          </cell>
        </row>
        <row r="5">
          <cell r="A5">
            <v>1403000</v>
          </cell>
          <cell r="C5">
            <v>889.09</v>
          </cell>
        </row>
        <row r="6">
          <cell r="A6">
            <v>1404000</v>
          </cell>
          <cell r="C6">
            <v>1016.06</v>
          </cell>
        </row>
        <row r="7">
          <cell r="A7">
            <v>1405000</v>
          </cell>
          <cell r="C7">
            <v>811.79</v>
          </cell>
        </row>
        <row r="8">
          <cell r="A8">
            <v>1406000</v>
          </cell>
          <cell r="C8">
            <v>880.54</v>
          </cell>
        </row>
        <row r="9">
          <cell r="A9">
            <v>1407000</v>
          </cell>
          <cell r="C9">
            <v>930.29</v>
          </cell>
        </row>
        <row r="10">
          <cell r="A10">
            <v>1408000</v>
          </cell>
          <cell r="C10">
            <v>731.96</v>
          </cell>
        </row>
        <row r="11">
          <cell r="A11">
            <v>1409000</v>
          </cell>
          <cell r="C11">
            <v>1215.9000000000001</v>
          </cell>
        </row>
        <row r="12">
          <cell r="A12">
            <v>1410000</v>
          </cell>
          <cell r="C12">
            <v>1062.77</v>
          </cell>
        </row>
        <row r="13">
          <cell r="A13">
            <v>1411000</v>
          </cell>
          <cell r="C13">
            <v>954.89</v>
          </cell>
        </row>
        <row r="14">
          <cell r="A14">
            <v>1412000</v>
          </cell>
          <cell r="C14">
            <v>791.67</v>
          </cell>
        </row>
        <row r="15">
          <cell r="A15">
            <v>1413000</v>
          </cell>
          <cell r="C15">
            <v>825.88</v>
          </cell>
        </row>
        <row r="16">
          <cell r="A16">
            <v>1414000</v>
          </cell>
          <cell r="C16">
            <v>682.59</v>
          </cell>
        </row>
        <row r="17">
          <cell r="A17">
            <v>1415000</v>
          </cell>
          <cell r="C17">
            <v>738.37</v>
          </cell>
        </row>
        <row r="18">
          <cell r="A18">
            <v>1416000</v>
          </cell>
          <cell r="C18">
            <v>823.06</v>
          </cell>
        </row>
        <row r="19">
          <cell r="A19">
            <v>1417000</v>
          </cell>
          <cell r="C19">
            <v>867.83</v>
          </cell>
        </row>
        <row r="20">
          <cell r="A20">
            <v>1418000</v>
          </cell>
          <cell r="C20">
            <v>1001.23</v>
          </cell>
        </row>
        <row r="21">
          <cell r="A21">
            <v>1419000</v>
          </cell>
          <cell r="C21">
            <v>802.25</v>
          </cell>
        </row>
        <row r="22">
          <cell r="A22">
            <v>1420000</v>
          </cell>
          <cell r="C22">
            <v>913.78</v>
          </cell>
        </row>
        <row r="23">
          <cell r="A23">
            <v>1421000</v>
          </cell>
          <cell r="C23">
            <v>736.8</v>
          </cell>
        </row>
        <row r="24">
          <cell r="A24">
            <v>1422000</v>
          </cell>
          <cell r="C24">
            <v>1153.6099999999999</v>
          </cell>
        </row>
        <row r="25">
          <cell r="A25">
            <v>1423000</v>
          </cell>
          <cell r="C25">
            <v>1386.58</v>
          </cell>
        </row>
        <row r="26">
          <cell r="A26">
            <v>1424000</v>
          </cell>
          <cell r="C26">
            <v>1118.43</v>
          </cell>
        </row>
        <row r="27">
          <cell r="A27">
            <v>1425000</v>
          </cell>
          <cell r="C27">
            <v>752.28</v>
          </cell>
        </row>
        <row r="28">
          <cell r="A28">
            <v>1426000</v>
          </cell>
          <cell r="C28">
            <v>490.94</v>
          </cell>
        </row>
        <row r="29">
          <cell r="A29">
            <v>1427000</v>
          </cell>
          <cell r="C29">
            <v>954.17</v>
          </cell>
        </row>
        <row r="30">
          <cell r="A30">
            <v>1428000</v>
          </cell>
          <cell r="C30">
            <v>901.49</v>
          </cell>
        </row>
        <row r="31">
          <cell r="A31">
            <v>1429000</v>
          </cell>
          <cell r="C31">
            <v>1036.8499999999999</v>
          </cell>
        </row>
        <row r="32">
          <cell r="A32">
            <v>1430000</v>
          </cell>
          <cell r="C32">
            <v>828.8</v>
          </cell>
        </row>
        <row r="33">
          <cell r="A33">
            <v>1432000</v>
          </cell>
          <cell r="C33">
            <v>1028.5</v>
          </cell>
        </row>
        <row r="34">
          <cell r="A34">
            <v>1433000</v>
          </cell>
          <cell r="C34">
            <v>822.96</v>
          </cell>
        </row>
        <row r="35">
          <cell r="A35">
            <v>1434000</v>
          </cell>
          <cell r="C35">
            <v>668.29</v>
          </cell>
        </row>
        <row r="36">
          <cell r="A36">
            <v>1435000</v>
          </cell>
          <cell r="C36">
            <v>1011.68</v>
          </cell>
        </row>
        <row r="37">
          <cell r="A37">
            <v>1436000</v>
          </cell>
          <cell r="C37">
            <v>807.82</v>
          </cell>
        </row>
        <row r="38">
          <cell r="A38">
            <v>1437000</v>
          </cell>
          <cell r="C38">
            <v>1025.9000000000001</v>
          </cell>
        </row>
        <row r="39">
          <cell r="A39">
            <v>1438000</v>
          </cell>
          <cell r="C39">
            <v>713.26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_2910_CTAB_20231228112716"/>
    </sheetNames>
    <sheetDataSet>
      <sheetData sheetId="0" refreshError="1">
        <row r="2">
          <cell r="A2">
            <v>1400000</v>
          </cell>
          <cell r="C2">
            <v>117092646.31</v>
          </cell>
        </row>
        <row r="3">
          <cell r="A3">
            <v>1401000</v>
          </cell>
          <cell r="C3">
            <v>5996403.5499999998</v>
          </cell>
        </row>
        <row r="4">
          <cell r="A4">
            <v>1402000</v>
          </cell>
          <cell r="C4">
            <v>4047298.15</v>
          </cell>
        </row>
        <row r="5">
          <cell r="A5">
            <v>1403000</v>
          </cell>
          <cell r="C5">
            <v>3796152.58</v>
          </cell>
        </row>
        <row r="6">
          <cell r="A6">
            <v>1404000</v>
          </cell>
          <cell r="C6">
            <v>1309764.5900000001</v>
          </cell>
        </row>
        <row r="7">
          <cell r="A7">
            <v>1405000</v>
          </cell>
          <cell r="C7">
            <v>650951.93999999994</v>
          </cell>
        </row>
        <row r="8">
          <cell r="A8">
            <v>1406000</v>
          </cell>
          <cell r="C8">
            <v>4136572.87</v>
          </cell>
        </row>
        <row r="9">
          <cell r="A9">
            <v>1407000</v>
          </cell>
          <cell r="C9">
            <v>3461797.37</v>
          </cell>
        </row>
        <row r="10">
          <cell r="A10">
            <v>1408000</v>
          </cell>
          <cell r="C10">
            <v>2063938.5</v>
          </cell>
        </row>
        <row r="11">
          <cell r="A11">
            <v>1409000</v>
          </cell>
          <cell r="C11">
            <v>2599095.1800000002</v>
          </cell>
        </row>
        <row r="12">
          <cell r="A12">
            <v>1410000</v>
          </cell>
          <cell r="C12">
            <v>924364.33</v>
          </cell>
        </row>
        <row r="13">
          <cell r="A13">
            <v>1411000</v>
          </cell>
          <cell r="C13">
            <v>401177.31</v>
          </cell>
        </row>
        <row r="14">
          <cell r="A14">
            <v>1412000</v>
          </cell>
          <cell r="C14">
            <v>5247485.5199999996</v>
          </cell>
        </row>
        <row r="15">
          <cell r="A15">
            <v>1413000</v>
          </cell>
          <cell r="C15">
            <v>1691102.01</v>
          </cell>
        </row>
        <row r="16">
          <cell r="A16">
            <v>1414000</v>
          </cell>
          <cell r="C16">
            <v>4907235.74</v>
          </cell>
        </row>
        <row r="17">
          <cell r="A17">
            <v>1415000</v>
          </cell>
          <cell r="C17">
            <v>1306421.82</v>
          </cell>
        </row>
        <row r="18">
          <cell r="A18">
            <v>1416000</v>
          </cell>
          <cell r="C18">
            <v>4053672.1</v>
          </cell>
        </row>
        <row r="19">
          <cell r="A19">
            <v>1417000</v>
          </cell>
          <cell r="C19">
            <v>3028805.31</v>
          </cell>
        </row>
        <row r="20">
          <cell r="A20">
            <v>1418000</v>
          </cell>
          <cell r="C20">
            <v>4572822.07</v>
          </cell>
        </row>
        <row r="21">
          <cell r="A21">
            <v>1419000</v>
          </cell>
          <cell r="C21">
            <v>4666394.7300000004</v>
          </cell>
        </row>
        <row r="22">
          <cell r="A22">
            <v>1420000</v>
          </cell>
          <cell r="C22">
            <v>8852966.2599999998</v>
          </cell>
        </row>
        <row r="23">
          <cell r="A23">
            <v>1421000</v>
          </cell>
          <cell r="C23">
            <v>1097659.76</v>
          </cell>
        </row>
        <row r="24">
          <cell r="A24">
            <v>1422000</v>
          </cell>
          <cell r="C24">
            <v>8249693.1900000004</v>
          </cell>
        </row>
        <row r="25">
          <cell r="A25">
            <v>1423000</v>
          </cell>
          <cell r="C25">
            <v>2299691.88</v>
          </cell>
        </row>
        <row r="26">
          <cell r="A26">
            <v>1424000</v>
          </cell>
          <cell r="C26">
            <v>3605344.47</v>
          </cell>
        </row>
        <row r="27">
          <cell r="A27">
            <v>1425000</v>
          </cell>
          <cell r="C27">
            <v>1298823.97</v>
          </cell>
        </row>
        <row r="28">
          <cell r="A28">
            <v>1426000</v>
          </cell>
          <cell r="C28">
            <v>416272.49</v>
          </cell>
        </row>
        <row r="29">
          <cell r="A29">
            <v>1427000</v>
          </cell>
          <cell r="C29">
            <v>771908.09</v>
          </cell>
        </row>
        <row r="30">
          <cell r="A30">
            <v>1428000</v>
          </cell>
          <cell r="C30">
            <v>4100856.33</v>
          </cell>
        </row>
        <row r="31">
          <cell r="A31">
            <v>1429000</v>
          </cell>
          <cell r="C31">
            <v>9117542.8200000003</v>
          </cell>
        </row>
        <row r="32">
          <cell r="A32">
            <v>1430000</v>
          </cell>
          <cell r="C32">
            <v>628997.32999999996</v>
          </cell>
        </row>
        <row r="33">
          <cell r="A33">
            <v>1432000</v>
          </cell>
          <cell r="C33">
            <v>2631591.87</v>
          </cell>
        </row>
        <row r="34">
          <cell r="A34">
            <v>1433000</v>
          </cell>
          <cell r="C34">
            <v>788163.95</v>
          </cell>
        </row>
        <row r="35">
          <cell r="A35">
            <v>1434000</v>
          </cell>
          <cell r="C35">
            <v>3918722.03</v>
          </cell>
        </row>
        <row r="36">
          <cell r="A36">
            <v>1435000</v>
          </cell>
          <cell r="C36">
            <v>3089382.94</v>
          </cell>
        </row>
        <row r="37">
          <cell r="A37">
            <v>1436000</v>
          </cell>
          <cell r="C37">
            <v>1987624.81</v>
          </cell>
        </row>
        <row r="38">
          <cell r="A38">
            <v>1437000</v>
          </cell>
          <cell r="C38">
            <v>3436009.07</v>
          </cell>
        </row>
        <row r="39">
          <cell r="A39">
            <v>1438000</v>
          </cell>
          <cell r="C39">
            <v>1939939.38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WE_2755_CTAB_20231228112811"/>
    </sheetNames>
    <sheetDataSet>
      <sheetData sheetId="0" refreshError="1">
        <row r="2">
          <cell r="A2">
            <v>1400000</v>
          </cell>
          <cell r="C2">
            <v>5256</v>
          </cell>
          <cell r="D2">
            <v>72223</v>
          </cell>
        </row>
        <row r="3">
          <cell r="A3">
            <v>1401000</v>
          </cell>
          <cell r="C3">
            <v>883</v>
          </cell>
          <cell r="D3">
            <v>7212</v>
          </cell>
        </row>
        <row r="4">
          <cell r="A4">
            <v>1402000</v>
          </cell>
          <cell r="C4">
            <v>4872</v>
          </cell>
          <cell r="D4">
            <v>25646</v>
          </cell>
        </row>
        <row r="5">
          <cell r="A5">
            <v>1403000</v>
          </cell>
          <cell r="C5">
            <v>1877</v>
          </cell>
          <cell r="D5">
            <v>20423</v>
          </cell>
        </row>
        <row r="6">
          <cell r="A6">
            <v>1404000</v>
          </cell>
          <cell r="C6">
            <v>1091</v>
          </cell>
          <cell r="D6">
            <v>16504</v>
          </cell>
        </row>
        <row r="7">
          <cell r="A7">
            <v>1405000</v>
          </cell>
          <cell r="C7">
            <v>4385</v>
          </cell>
          <cell r="D7">
            <v>31226</v>
          </cell>
        </row>
        <row r="8">
          <cell r="A8">
            <v>1406000</v>
          </cell>
          <cell r="C8">
            <v>3006</v>
          </cell>
          <cell r="D8">
            <v>46127</v>
          </cell>
        </row>
        <row r="9">
          <cell r="A9">
            <v>1407000</v>
          </cell>
          <cell r="C9">
            <v>3985</v>
          </cell>
          <cell r="D9">
            <v>78075</v>
          </cell>
        </row>
        <row r="10">
          <cell r="A10">
            <v>1408000</v>
          </cell>
          <cell r="C10">
            <v>2995</v>
          </cell>
          <cell r="D10">
            <v>30347</v>
          </cell>
        </row>
        <row r="11">
          <cell r="A11">
            <v>1409000</v>
          </cell>
          <cell r="C11">
            <v>411</v>
          </cell>
          <cell r="D11">
            <v>6576</v>
          </cell>
        </row>
        <row r="12">
          <cell r="A12">
            <v>1410000</v>
          </cell>
          <cell r="C12">
            <v>1104</v>
          </cell>
          <cell r="D12">
            <v>9256</v>
          </cell>
        </row>
        <row r="13">
          <cell r="A13">
            <v>1411000</v>
          </cell>
          <cell r="C13">
            <v>1029</v>
          </cell>
          <cell r="D13">
            <v>8130</v>
          </cell>
        </row>
        <row r="14">
          <cell r="A14">
            <v>1412000</v>
          </cell>
          <cell r="C14">
            <v>1411</v>
          </cell>
          <cell r="D14">
            <v>18935</v>
          </cell>
        </row>
        <row r="15">
          <cell r="A15">
            <v>1413000</v>
          </cell>
          <cell r="C15">
            <v>4749</v>
          </cell>
          <cell r="D15">
            <v>20404</v>
          </cell>
        </row>
        <row r="16">
          <cell r="A16">
            <v>1414000</v>
          </cell>
          <cell r="C16">
            <v>5587</v>
          </cell>
          <cell r="D16">
            <v>36566</v>
          </cell>
        </row>
        <row r="17">
          <cell r="A17">
            <v>1415000</v>
          </cell>
          <cell r="C17">
            <v>794</v>
          </cell>
          <cell r="D17">
            <v>9046</v>
          </cell>
        </row>
        <row r="18">
          <cell r="A18">
            <v>1416000</v>
          </cell>
          <cell r="C18">
            <v>1666</v>
          </cell>
          <cell r="D18">
            <v>20229</v>
          </cell>
        </row>
        <row r="19">
          <cell r="A19">
            <v>1417000</v>
          </cell>
          <cell r="C19">
            <v>3246</v>
          </cell>
          <cell r="D19">
            <v>24729</v>
          </cell>
        </row>
        <row r="20">
          <cell r="A20">
            <v>1418000</v>
          </cell>
          <cell r="C20">
            <v>2159</v>
          </cell>
          <cell r="D20">
            <v>131571</v>
          </cell>
        </row>
        <row r="21">
          <cell r="A21">
            <v>1419000</v>
          </cell>
          <cell r="C21">
            <v>1589</v>
          </cell>
          <cell r="D21">
            <v>17544</v>
          </cell>
        </row>
        <row r="22">
          <cell r="A22">
            <v>1420000</v>
          </cell>
          <cell r="C22">
            <v>1567</v>
          </cell>
          <cell r="D22">
            <v>15237</v>
          </cell>
        </row>
        <row r="23">
          <cell r="A23">
            <v>1421000</v>
          </cell>
          <cell r="C23">
            <v>4572</v>
          </cell>
          <cell r="D23">
            <v>42644</v>
          </cell>
        </row>
        <row r="24">
          <cell r="A24">
            <v>1422000</v>
          </cell>
          <cell r="C24">
            <v>733</v>
          </cell>
          <cell r="D24">
            <v>15970</v>
          </cell>
        </row>
        <row r="25">
          <cell r="A25">
            <v>1423000</v>
          </cell>
          <cell r="C25">
            <v>1188</v>
          </cell>
          <cell r="D25">
            <v>9426</v>
          </cell>
        </row>
        <row r="26">
          <cell r="A26">
            <v>1424000</v>
          </cell>
          <cell r="C26">
            <v>935</v>
          </cell>
          <cell r="D26">
            <v>9430</v>
          </cell>
        </row>
        <row r="27">
          <cell r="A27">
            <v>1425000</v>
          </cell>
          <cell r="C27">
            <v>477</v>
          </cell>
          <cell r="D27">
            <v>6377</v>
          </cell>
        </row>
        <row r="28">
          <cell r="A28">
            <v>1426000</v>
          </cell>
          <cell r="C28">
            <v>1757</v>
          </cell>
          <cell r="D28">
            <v>7960</v>
          </cell>
        </row>
        <row r="29">
          <cell r="A29">
            <v>1427000</v>
          </cell>
          <cell r="C29">
            <v>1262</v>
          </cell>
          <cell r="D29">
            <v>13445</v>
          </cell>
        </row>
        <row r="30">
          <cell r="A30">
            <v>1428000</v>
          </cell>
          <cell r="C30">
            <v>2754</v>
          </cell>
          <cell r="D30">
            <v>30519</v>
          </cell>
        </row>
        <row r="31">
          <cell r="A31">
            <v>1429000</v>
          </cell>
          <cell r="C31">
            <v>2905</v>
          </cell>
          <cell r="D31">
            <v>29051</v>
          </cell>
        </row>
        <row r="32">
          <cell r="A32">
            <v>1430000</v>
          </cell>
          <cell r="C32">
            <v>1692</v>
          </cell>
          <cell r="D32">
            <v>6081</v>
          </cell>
        </row>
        <row r="33">
          <cell r="A33">
            <v>1432000</v>
          </cell>
          <cell r="C33">
            <v>4891</v>
          </cell>
          <cell r="D33">
            <v>49962</v>
          </cell>
        </row>
        <row r="34">
          <cell r="A34">
            <v>1433000</v>
          </cell>
          <cell r="C34">
            <v>977</v>
          </cell>
          <cell r="D34">
            <v>10326</v>
          </cell>
        </row>
        <row r="35">
          <cell r="A35">
            <v>1434000</v>
          </cell>
          <cell r="C35">
            <v>2139</v>
          </cell>
          <cell r="D35">
            <v>16831</v>
          </cell>
        </row>
        <row r="36">
          <cell r="A36">
            <v>1435000</v>
          </cell>
          <cell r="C36">
            <v>2143</v>
          </cell>
          <cell r="D36">
            <v>29354</v>
          </cell>
        </row>
        <row r="37">
          <cell r="A37">
            <v>1436000</v>
          </cell>
          <cell r="C37">
            <v>600</v>
          </cell>
          <cell r="D37">
            <v>6977</v>
          </cell>
        </row>
        <row r="38">
          <cell r="A38">
            <v>1437000</v>
          </cell>
          <cell r="C38">
            <v>610</v>
          </cell>
          <cell r="D38">
            <v>5100</v>
          </cell>
        </row>
        <row r="39">
          <cell r="A39">
            <v>1438000</v>
          </cell>
          <cell r="C39">
            <v>2302</v>
          </cell>
          <cell r="D39">
            <v>23905</v>
          </cell>
        </row>
        <row r="40">
          <cell r="A40">
            <v>1461000</v>
          </cell>
          <cell r="C40">
            <v>15856</v>
          </cell>
          <cell r="D40">
            <v>95560</v>
          </cell>
        </row>
        <row r="41">
          <cell r="A41">
            <v>1462000</v>
          </cell>
          <cell r="C41">
            <v>8219</v>
          </cell>
          <cell r="D41">
            <v>176153</v>
          </cell>
        </row>
        <row r="42">
          <cell r="A42">
            <v>1463000</v>
          </cell>
          <cell r="C42">
            <v>1735</v>
          </cell>
          <cell r="D42">
            <v>28673</v>
          </cell>
        </row>
        <row r="43">
          <cell r="A43">
            <v>1464000</v>
          </cell>
          <cell r="C43">
            <v>2371</v>
          </cell>
          <cell r="D43">
            <v>33423</v>
          </cell>
        </row>
        <row r="44">
          <cell r="A44">
            <v>1465000</v>
          </cell>
          <cell r="C44">
            <v>10508</v>
          </cell>
          <cell r="D44">
            <v>150085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LT_2364_CTAB_20231228113055"/>
    </sheetNames>
    <sheetDataSet>
      <sheetData sheetId="0" refreshError="1">
        <row r="2">
          <cell r="A2">
            <v>1400000</v>
          </cell>
          <cell r="C2">
            <v>119</v>
          </cell>
        </row>
        <row r="3">
          <cell r="A3">
            <v>1401000</v>
          </cell>
          <cell r="C3">
            <v>0</v>
          </cell>
        </row>
        <row r="4">
          <cell r="A4">
            <v>1402000</v>
          </cell>
          <cell r="C4">
            <v>236</v>
          </cell>
        </row>
        <row r="5">
          <cell r="A5">
            <v>1403000</v>
          </cell>
          <cell r="C5">
            <v>431</v>
          </cell>
        </row>
        <row r="6">
          <cell r="A6">
            <v>1404000</v>
          </cell>
          <cell r="C6">
            <v>120</v>
          </cell>
        </row>
        <row r="7">
          <cell r="A7">
            <v>1405000</v>
          </cell>
          <cell r="C7">
            <v>233</v>
          </cell>
        </row>
        <row r="8">
          <cell r="A8">
            <v>1406000</v>
          </cell>
          <cell r="C8">
            <v>363</v>
          </cell>
        </row>
        <row r="9">
          <cell r="A9">
            <v>1407000</v>
          </cell>
          <cell r="C9">
            <v>0</v>
          </cell>
        </row>
        <row r="10">
          <cell r="A10">
            <v>1408000</v>
          </cell>
          <cell r="C10">
            <v>2198</v>
          </cell>
        </row>
        <row r="11">
          <cell r="A11">
            <v>1409000</v>
          </cell>
          <cell r="C11">
            <v>0</v>
          </cell>
        </row>
        <row r="12">
          <cell r="A12">
            <v>1410000</v>
          </cell>
          <cell r="C12">
            <v>126</v>
          </cell>
        </row>
        <row r="13">
          <cell r="A13">
            <v>1411000</v>
          </cell>
          <cell r="C13">
            <v>187</v>
          </cell>
        </row>
        <row r="14">
          <cell r="A14">
            <v>1412000</v>
          </cell>
          <cell r="C14">
            <v>0</v>
          </cell>
        </row>
        <row r="15">
          <cell r="A15">
            <v>1413000</v>
          </cell>
          <cell r="C15">
            <v>278</v>
          </cell>
        </row>
        <row r="16">
          <cell r="A16">
            <v>1414000</v>
          </cell>
          <cell r="C16">
            <v>475</v>
          </cell>
        </row>
        <row r="17">
          <cell r="A17">
            <v>1415000</v>
          </cell>
          <cell r="C17">
            <v>0</v>
          </cell>
        </row>
        <row r="18">
          <cell r="A18">
            <v>1416000</v>
          </cell>
          <cell r="C18">
            <v>375</v>
          </cell>
        </row>
        <row r="19">
          <cell r="A19">
            <v>1417000</v>
          </cell>
          <cell r="C19">
            <v>674</v>
          </cell>
        </row>
        <row r="20">
          <cell r="A20">
            <v>1418000</v>
          </cell>
          <cell r="C20">
            <v>1609</v>
          </cell>
        </row>
        <row r="21">
          <cell r="A21">
            <v>1419000</v>
          </cell>
          <cell r="C21">
            <v>0</v>
          </cell>
        </row>
        <row r="22">
          <cell r="A22">
            <v>1420000</v>
          </cell>
          <cell r="C22">
            <v>230</v>
          </cell>
        </row>
        <row r="23">
          <cell r="A23">
            <v>1421000</v>
          </cell>
          <cell r="C23">
            <v>69</v>
          </cell>
        </row>
        <row r="24">
          <cell r="A24">
            <v>1422000</v>
          </cell>
          <cell r="C24">
            <v>210</v>
          </cell>
        </row>
        <row r="25">
          <cell r="A25">
            <v>1423000</v>
          </cell>
          <cell r="C25">
            <v>361</v>
          </cell>
        </row>
        <row r="26">
          <cell r="A26">
            <v>1424000</v>
          </cell>
          <cell r="C26">
            <v>228</v>
          </cell>
        </row>
        <row r="27">
          <cell r="A27">
            <v>1425000</v>
          </cell>
          <cell r="C27">
            <v>0</v>
          </cell>
        </row>
        <row r="28">
          <cell r="A28">
            <v>1426000</v>
          </cell>
          <cell r="C28">
            <v>0</v>
          </cell>
        </row>
        <row r="29">
          <cell r="A29">
            <v>1427000</v>
          </cell>
          <cell r="C29">
            <v>180</v>
          </cell>
        </row>
        <row r="30">
          <cell r="A30">
            <v>1428000</v>
          </cell>
          <cell r="C30">
            <v>312</v>
          </cell>
        </row>
        <row r="31">
          <cell r="A31">
            <v>1429000</v>
          </cell>
          <cell r="C31">
            <v>155</v>
          </cell>
        </row>
        <row r="32">
          <cell r="A32">
            <v>1430000</v>
          </cell>
          <cell r="C32">
            <v>0</v>
          </cell>
        </row>
        <row r="33">
          <cell r="A33">
            <v>1432000</v>
          </cell>
          <cell r="C33">
            <v>457</v>
          </cell>
        </row>
        <row r="34">
          <cell r="A34">
            <v>1433000</v>
          </cell>
          <cell r="C34">
            <v>242</v>
          </cell>
        </row>
        <row r="35">
          <cell r="A35">
            <v>1434000</v>
          </cell>
          <cell r="C35">
            <v>564</v>
          </cell>
        </row>
        <row r="36">
          <cell r="A36">
            <v>1435000</v>
          </cell>
          <cell r="C36">
            <v>1393</v>
          </cell>
        </row>
        <row r="37">
          <cell r="A37">
            <v>1436000</v>
          </cell>
          <cell r="C37">
            <v>0</v>
          </cell>
        </row>
        <row r="38">
          <cell r="A38">
            <v>1437000</v>
          </cell>
          <cell r="C38">
            <v>234</v>
          </cell>
        </row>
        <row r="39">
          <cell r="A39">
            <v>1438000</v>
          </cell>
          <cell r="C39">
            <v>151</v>
          </cell>
        </row>
        <row r="40">
          <cell r="A40">
            <v>1461000</v>
          </cell>
          <cell r="C40">
            <v>138</v>
          </cell>
        </row>
        <row r="41">
          <cell r="A41">
            <v>1462000</v>
          </cell>
          <cell r="C41">
            <v>72</v>
          </cell>
        </row>
        <row r="42">
          <cell r="A42">
            <v>1463000</v>
          </cell>
          <cell r="C42">
            <v>84</v>
          </cell>
        </row>
        <row r="43">
          <cell r="A43">
            <v>1464000</v>
          </cell>
          <cell r="C43">
            <v>84</v>
          </cell>
        </row>
        <row r="44">
          <cell r="A44">
            <v>1465000</v>
          </cell>
          <cell r="C44">
            <v>57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LT_2381_CTAB_20231228113151"/>
    </sheetNames>
    <sheetDataSet>
      <sheetData sheetId="0" refreshError="1">
        <row r="2">
          <cell r="A2">
            <v>1400000</v>
          </cell>
          <cell r="C2">
            <v>4846</v>
          </cell>
          <cell r="D2">
            <v>16</v>
          </cell>
        </row>
        <row r="3">
          <cell r="A3">
            <v>1401000</v>
          </cell>
          <cell r="C3">
            <v>3376</v>
          </cell>
          <cell r="D3">
            <v>17.7</v>
          </cell>
        </row>
        <row r="4">
          <cell r="A4">
            <v>1402000</v>
          </cell>
          <cell r="C4">
            <v>4562</v>
          </cell>
          <cell r="D4">
            <v>23.4</v>
          </cell>
        </row>
        <row r="5">
          <cell r="A5">
            <v>1403000</v>
          </cell>
          <cell r="C5">
            <v>3745</v>
          </cell>
          <cell r="D5">
            <v>16.5</v>
          </cell>
        </row>
        <row r="6">
          <cell r="A6">
            <v>1404000</v>
          </cell>
          <cell r="C6">
            <v>3108</v>
          </cell>
          <cell r="D6">
            <v>17.100000000000001</v>
          </cell>
        </row>
        <row r="7">
          <cell r="A7">
            <v>1405000</v>
          </cell>
          <cell r="C7">
            <v>5470</v>
          </cell>
          <cell r="D7">
            <v>14.6</v>
          </cell>
        </row>
        <row r="8">
          <cell r="A8">
            <v>1406000</v>
          </cell>
          <cell r="C8">
            <v>4932</v>
          </cell>
          <cell r="D8">
            <v>15.9</v>
          </cell>
        </row>
        <row r="9">
          <cell r="A9">
            <v>1407000</v>
          </cell>
          <cell r="C9">
            <v>3278</v>
          </cell>
          <cell r="D9">
            <v>14.8</v>
          </cell>
        </row>
        <row r="10">
          <cell r="A10">
            <v>1408000</v>
          </cell>
          <cell r="C10">
            <v>6464</v>
          </cell>
          <cell r="D10">
            <v>20.8</v>
          </cell>
        </row>
        <row r="11">
          <cell r="A11">
            <v>1409000</v>
          </cell>
          <cell r="C11">
            <v>2991</v>
          </cell>
          <cell r="D11">
            <v>24.5</v>
          </cell>
        </row>
        <row r="12">
          <cell r="A12">
            <v>1410000</v>
          </cell>
          <cell r="C12">
            <v>2485</v>
          </cell>
          <cell r="D12">
            <v>33.799999999999997</v>
          </cell>
        </row>
        <row r="13">
          <cell r="A13">
            <v>1411000</v>
          </cell>
          <cell r="C13">
            <v>2129</v>
          </cell>
          <cell r="D13">
            <v>18.899999999999999</v>
          </cell>
        </row>
        <row r="14">
          <cell r="A14">
            <v>1412000</v>
          </cell>
          <cell r="C14">
            <v>5957</v>
          </cell>
          <cell r="D14">
            <v>14.8</v>
          </cell>
        </row>
        <row r="15">
          <cell r="A15">
            <v>1413000</v>
          </cell>
          <cell r="C15">
            <v>4378</v>
          </cell>
          <cell r="D15">
            <v>14.2</v>
          </cell>
        </row>
        <row r="16">
          <cell r="A16">
            <v>1414000</v>
          </cell>
          <cell r="C16">
            <v>5221</v>
          </cell>
          <cell r="D16">
            <v>15.8</v>
          </cell>
        </row>
        <row r="17">
          <cell r="A17">
            <v>1415000</v>
          </cell>
          <cell r="C17">
            <v>2928</v>
          </cell>
          <cell r="D17">
            <v>13.7</v>
          </cell>
        </row>
        <row r="18">
          <cell r="A18">
            <v>1416000</v>
          </cell>
          <cell r="C18">
            <v>3261</v>
          </cell>
          <cell r="D18">
            <v>16.600000000000001</v>
          </cell>
        </row>
        <row r="19">
          <cell r="A19">
            <v>1417000</v>
          </cell>
          <cell r="C19">
            <v>4356</v>
          </cell>
          <cell r="D19">
            <v>18.2</v>
          </cell>
        </row>
        <row r="20">
          <cell r="A20">
            <v>1418000</v>
          </cell>
          <cell r="C20">
            <v>6498</v>
          </cell>
          <cell r="D20">
            <v>19.3</v>
          </cell>
        </row>
        <row r="21">
          <cell r="A21">
            <v>1419000</v>
          </cell>
          <cell r="C21">
            <v>3360</v>
          </cell>
          <cell r="D21">
            <v>19.399999999999999</v>
          </cell>
        </row>
        <row r="22">
          <cell r="A22">
            <v>1420000</v>
          </cell>
          <cell r="C22">
            <v>4239</v>
          </cell>
          <cell r="D22">
            <v>16</v>
          </cell>
        </row>
        <row r="23">
          <cell r="A23">
            <v>1421000</v>
          </cell>
          <cell r="C23">
            <v>7128</v>
          </cell>
          <cell r="D23">
            <v>16.2</v>
          </cell>
        </row>
        <row r="24">
          <cell r="A24">
            <v>1422000</v>
          </cell>
          <cell r="C24">
            <v>2561</v>
          </cell>
          <cell r="D24">
            <v>16.2</v>
          </cell>
        </row>
        <row r="25">
          <cell r="A25">
            <v>1423000</v>
          </cell>
          <cell r="C25">
            <v>2277</v>
          </cell>
          <cell r="D25">
            <v>16.5</v>
          </cell>
        </row>
        <row r="26">
          <cell r="A26">
            <v>1424000</v>
          </cell>
          <cell r="C26">
            <v>3671</v>
          </cell>
          <cell r="D26">
            <v>17.3</v>
          </cell>
        </row>
        <row r="27">
          <cell r="A27">
            <v>1425000</v>
          </cell>
          <cell r="C27">
            <v>3587</v>
          </cell>
          <cell r="D27">
            <v>17.3</v>
          </cell>
        </row>
        <row r="28">
          <cell r="A28">
            <v>1426000</v>
          </cell>
          <cell r="C28">
            <v>2156</v>
          </cell>
          <cell r="D28">
            <v>20.5</v>
          </cell>
        </row>
        <row r="29">
          <cell r="A29">
            <v>1427000</v>
          </cell>
          <cell r="C29">
            <v>2818</v>
          </cell>
          <cell r="D29">
            <v>18.5</v>
          </cell>
        </row>
        <row r="30">
          <cell r="A30">
            <v>1428000</v>
          </cell>
          <cell r="C30">
            <v>4055</v>
          </cell>
          <cell r="D30">
            <v>19.3</v>
          </cell>
        </row>
        <row r="31">
          <cell r="A31">
            <v>1429000</v>
          </cell>
          <cell r="C31">
            <v>2961</v>
          </cell>
          <cell r="D31">
            <v>14.8</v>
          </cell>
        </row>
        <row r="32">
          <cell r="A32">
            <v>1430000</v>
          </cell>
          <cell r="C32">
            <v>2709</v>
          </cell>
          <cell r="D32">
            <v>17.899999999999999</v>
          </cell>
        </row>
        <row r="33">
          <cell r="A33">
            <v>1432000</v>
          </cell>
          <cell r="C33">
            <v>6090</v>
          </cell>
          <cell r="D33">
            <v>26.7</v>
          </cell>
        </row>
        <row r="34">
          <cell r="A34">
            <v>1433000</v>
          </cell>
          <cell r="C34">
            <v>2512</v>
          </cell>
          <cell r="D34">
            <v>17.5</v>
          </cell>
        </row>
        <row r="35">
          <cell r="A35">
            <v>1434000</v>
          </cell>
          <cell r="C35">
            <v>5786</v>
          </cell>
          <cell r="D35">
            <v>17.399999999999999</v>
          </cell>
        </row>
        <row r="36">
          <cell r="A36">
            <v>1435000</v>
          </cell>
          <cell r="C36">
            <v>3691</v>
          </cell>
          <cell r="D36">
            <v>18.600000000000001</v>
          </cell>
        </row>
        <row r="37">
          <cell r="A37">
            <v>1436000</v>
          </cell>
          <cell r="C37">
            <v>2648</v>
          </cell>
          <cell r="D37">
            <v>16.899999999999999</v>
          </cell>
        </row>
        <row r="38">
          <cell r="A38">
            <v>1437000</v>
          </cell>
          <cell r="C38">
            <v>3358</v>
          </cell>
          <cell r="D38">
            <v>12.6</v>
          </cell>
        </row>
        <row r="39">
          <cell r="A39">
            <v>1438000</v>
          </cell>
          <cell r="C39">
            <v>5890</v>
          </cell>
          <cell r="D39">
            <v>16.600000000000001</v>
          </cell>
        </row>
        <row r="40">
          <cell r="A40">
            <v>1461000</v>
          </cell>
          <cell r="C40">
            <v>7612</v>
          </cell>
          <cell r="D40">
            <v>9.6</v>
          </cell>
        </row>
        <row r="41">
          <cell r="A41">
            <v>1462000</v>
          </cell>
          <cell r="C41">
            <v>8242</v>
          </cell>
          <cell r="D41">
            <v>15.1</v>
          </cell>
        </row>
        <row r="42">
          <cell r="A42">
            <v>1463000</v>
          </cell>
          <cell r="C42">
            <v>12924</v>
          </cell>
          <cell r="D42">
            <v>14.8</v>
          </cell>
        </row>
        <row r="43">
          <cell r="A43">
            <v>1464000</v>
          </cell>
          <cell r="C43">
            <v>8488</v>
          </cell>
          <cell r="D43">
            <v>19.2</v>
          </cell>
        </row>
        <row r="44">
          <cell r="A44">
            <v>1465000</v>
          </cell>
          <cell r="C44">
            <v>6548</v>
          </cell>
          <cell r="D44">
            <v>14.6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UDN_2137_CTAB_20231228113344"/>
    </sheetNames>
    <sheetDataSet>
      <sheetData sheetId="0" refreshError="1">
        <row r="2">
          <cell r="A2">
            <v>1400000</v>
          </cell>
          <cell r="C2">
            <v>5301760</v>
          </cell>
          <cell r="D2">
            <v>2536666</v>
          </cell>
          <cell r="E2">
            <v>2765094</v>
          </cell>
          <cell r="F2">
            <v>301725</v>
          </cell>
          <cell r="G2">
            <v>154957</v>
          </cell>
          <cell r="H2">
            <v>146768</v>
          </cell>
          <cell r="I2">
            <v>267137</v>
          </cell>
          <cell r="J2">
            <v>136852</v>
          </cell>
          <cell r="K2">
            <v>130285</v>
          </cell>
          <cell r="L2">
            <v>250730</v>
          </cell>
          <cell r="M2">
            <v>128573</v>
          </cell>
          <cell r="N2">
            <v>122157</v>
          </cell>
          <cell r="O2">
            <v>285534</v>
          </cell>
          <cell r="P2">
            <v>145973</v>
          </cell>
          <cell r="Q2">
            <v>139561</v>
          </cell>
          <cell r="R2">
            <v>346055</v>
          </cell>
          <cell r="S2">
            <v>175899</v>
          </cell>
          <cell r="T2">
            <v>170156</v>
          </cell>
          <cell r="U2">
            <v>426147</v>
          </cell>
          <cell r="V2">
            <v>213129</v>
          </cell>
          <cell r="W2">
            <v>213018</v>
          </cell>
          <cell r="X2">
            <v>453949</v>
          </cell>
          <cell r="Y2">
            <v>225289</v>
          </cell>
          <cell r="Z2">
            <v>228660</v>
          </cell>
          <cell r="AA2">
            <v>427187</v>
          </cell>
          <cell r="AB2">
            <v>212602</v>
          </cell>
          <cell r="AC2">
            <v>214585</v>
          </cell>
          <cell r="AD2">
            <v>339770</v>
          </cell>
          <cell r="AE2">
            <v>170111</v>
          </cell>
          <cell r="AF2">
            <v>169659</v>
          </cell>
          <cell r="AG2">
            <v>308521</v>
          </cell>
          <cell r="AH2">
            <v>153586</v>
          </cell>
          <cell r="AI2">
            <v>154935</v>
          </cell>
          <cell r="AJ2">
            <v>351359</v>
          </cell>
          <cell r="AK2">
            <v>171026</v>
          </cell>
          <cell r="AL2">
            <v>180333</v>
          </cell>
          <cell r="AM2">
            <v>402910</v>
          </cell>
          <cell r="AN2">
            <v>190250</v>
          </cell>
          <cell r="AO2">
            <v>212660</v>
          </cell>
          <cell r="AP2">
            <v>343514</v>
          </cell>
          <cell r="AQ2">
            <v>156620</v>
          </cell>
          <cell r="AR2">
            <v>186894</v>
          </cell>
          <cell r="AS2">
            <v>227230</v>
          </cell>
          <cell r="AT2">
            <v>97822</v>
          </cell>
          <cell r="AU2">
            <v>129408</v>
          </cell>
          <cell r="AV2">
            <v>569992</v>
          </cell>
          <cell r="AW2">
            <v>203977</v>
          </cell>
          <cell r="AX2">
            <v>366015</v>
          </cell>
          <cell r="AY2">
            <v>177149</v>
          </cell>
          <cell r="AZ2">
            <v>70401</v>
          </cell>
          <cell r="BA2">
            <v>106748</v>
          </cell>
          <cell r="BB2">
            <v>166027</v>
          </cell>
          <cell r="BC2">
            <v>61658</v>
          </cell>
          <cell r="BD2">
            <v>104369</v>
          </cell>
          <cell r="BE2">
            <v>132866</v>
          </cell>
          <cell r="BF2">
            <v>45534</v>
          </cell>
          <cell r="BG2">
            <v>87332</v>
          </cell>
          <cell r="BH2">
            <v>93950</v>
          </cell>
          <cell r="BI2">
            <v>26384</v>
          </cell>
          <cell r="BJ2">
            <v>67566</v>
          </cell>
        </row>
        <row r="3">
          <cell r="A3">
            <v>1401000</v>
          </cell>
          <cell r="C3">
            <v>33760</v>
          </cell>
          <cell r="D3">
            <v>17057</v>
          </cell>
          <cell r="E3">
            <v>16703</v>
          </cell>
          <cell r="F3">
            <v>1965</v>
          </cell>
          <cell r="G3">
            <v>1029</v>
          </cell>
          <cell r="H3">
            <v>936</v>
          </cell>
          <cell r="I3">
            <v>1873</v>
          </cell>
          <cell r="J3">
            <v>921</v>
          </cell>
          <cell r="K3">
            <v>952</v>
          </cell>
          <cell r="L3">
            <v>2025</v>
          </cell>
          <cell r="M3">
            <v>1073</v>
          </cell>
          <cell r="N3">
            <v>952</v>
          </cell>
          <cell r="O3">
            <v>2382</v>
          </cell>
          <cell r="P3">
            <v>1272</v>
          </cell>
          <cell r="Q3">
            <v>1110</v>
          </cell>
          <cell r="R3">
            <v>2618</v>
          </cell>
          <cell r="S3">
            <v>1367</v>
          </cell>
          <cell r="T3">
            <v>1251</v>
          </cell>
          <cell r="U3">
            <v>2734</v>
          </cell>
          <cell r="V3">
            <v>1449</v>
          </cell>
          <cell r="W3">
            <v>1285</v>
          </cell>
          <cell r="X3">
            <v>2596</v>
          </cell>
          <cell r="Y3">
            <v>1411</v>
          </cell>
          <cell r="Z3">
            <v>1185</v>
          </cell>
          <cell r="AA3">
            <v>2389</v>
          </cell>
          <cell r="AB3">
            <v>1247</v>
          </cell>
          <cell r="AC3">
            <v>1142</v>
          </cell>
          <cell r="AD3">
            <v>2161</v>
          </cell>
          <cell r="AE3">
            <v>1108</v>
          </cell>
          <cell r="AF3">
            <v>1053</v>
          </cell>
          <cell r="AG3">
            <v>2027</v>
          </cell>
          <cell r="AH3">
            <v>1059</v>
          </cell>
          <cell r="AI3">
            <v>968</v>
          </cell>
          <cell r="AJ3">
            <v>2217</v>
          </cell>
          <cell r="AK3">
            <v>1174</v>
          </cell>
          <cell r="AL3">
            <v>1043</v>
          </cell>
          <cell r="AM3">
            <v>2379</v>
          </cell>
          <cell r="AN3">
            <v>1276</v>
          </cell>
          <cell r="AO3">
            <v>1103</v>
          </cell>
          <cell r="AP3">
            <v>1884</v>
          </cell>
          <cell r="AQ3">
            <v>887</v>
          </cell>
          <cell r="AR3">
            <v>997</v>
          </cell>
          <cell r="AS3">
            <v>1264</v>
          </cell>
          <cell r="AT3">
            <v>582</v>
          </cell>
          <cell r="AU3">
            <v>682</v>
          </cell>
          <cell r="AV3">
            <v>3246</v>
          </cell>
          <cell r="AW3">
            <v>1202</v>
          </cell>
          <cell r="AX3">
            <v>2044</v>
          </cell>
          <cell r="AY3">
            <v>964</v>
          </cell>
          <cell r="AZ3">
            <v>423</v>
          </cell>
          <cell r="BA3">
            <v>541</v>
          </cell>
          <cell r="BB3">
            <v>934</v>
          </cell>
          <cell r="BC3">
            <v>357</v>
          </cell>
          <cell r="BD3">
            <v>577</v>
          </cell>
          <cell r="BE3">
            <v>769</v>
          </cell>
          <cell r="BF3">
            <v>253</v>
          </cell>
          <cell r="BG3">
            <v>516</v>
          </cell>
          <cell r="BH3">
            <v>579</v>
          </cell>
          <cell r="BI3">
            <v>169</v>
          </cell>
          <cell r="BJ3">
            <v>410</v>
          </cell>
        </row>
        <row r="4">
          <cell r="A4">
            <v>1402000</v>
          </cell>
          <cell r="C4">
            <v>91243</v>
          </cell>
          <cell r="D4">
            <v>44824</v>
          </cell>
          <cell r="E4">
            <v>46419</v>
          </cell>
          <cell r="F4">
            <v>4872</v>
          </cell>
          <cell r="G4">
            <v>2492</v>
          </cell>
          <cell r="H4">
            <v>2380</v>
          </cell>
          <cell r="I4">
            <v>4260</v>
          </cell>
          <cell r="J4">
            <v>2221</v>
          </cell>
          <cell r="K4">
            <v>2039</v>
          </cell>
          <cell r="L4">
            <v>4763</v>
          </cell>
          <cell r="M4">
            <v>2458</v>
          </cell>
          <cell r="N4">
            <v>2305</v>
          </cell>
          <cell r="O4">
            <v>5987</v>
          </cell>
          <cell r="P4">
            <v>3132</v>
          </cell>
          <cell r="Q4">
            <v>2855</v>
          </cell>
          <cell r="R4">
            <v>6889</v>
          </cell>
          <cell r="S4">
            <v>3521</v>
          </cell>
          <cell r="T4">
            <v>3368</v>
          </cell>
          <cell r="U4">
            <v>7454</v>
          </cell>
          <cell r="V4">
            <v>3999</v>
          </cell>
          <cell r="W4">
            <v>3455</v>
          </cell>
          <cell r="X4">
            <v>6842</v>
          </cell>
          <cell r="Y4">
            <v>3612</v>
          </cell>
          <cell r="Z4">
            <v>3230</v>
          </cell>
          <cell r="AA4">
            <v>6205</v>
          </cell>
          <cell r="AB4">
            <v>3183</v>
          </cell>
          <cell r="AC4">
            <v>3022</v>
          </cell>
          <cell r="AD4">
            <v>5658</v>
          </cell>
          <cell r="AE4">
            <v>2851</v>
          </cell>
          <cell r="AF4">
            <v>2807</v>
          </cell>
          <cell r="AG4">
            <v>5988</v>
          </cell>
          <cell r="AH4">
            <v>2944</v>
          </cell>
          <cell r="AI4">
            <v>3044</v>
          </cell>
          <cell r="AJ4">
            <v>7064</v>
          </cell>
          <cell r="AK4">
            <v>3583</v>
          </cell>
          <cell r="AL4">
            <v>3481</v>
          </cell>
          <cell r="AM4">
            <v>7467</v>
          </cell>
          <cell r="AN4">
            <v>3602</v>
          </cell>
          <cell r="AO4">
            <v>3865</v>
          </cell>
          <cell r="AP4">
            <v>5909</v>
          </cell>
          <cell r="AQ4">
            <v>2795</v>
          </cell>
          <cell r="AR4">
            <v>3114</v>
          </cell>
          <cell r="AS4">
            <v>3329</v>
          </cell>
          <cell r="AT4">
            <v>1475</v>
          </cell>
          <cell r="AU4">
            <v>1854</v>
          </cell>
          <cell r="AV4">
            <v>8556</v>
          </cell>
          <cell r="AW4">
            <v>2956</v>
          </cell>
          <cell r="AX4">
            <v>5600</v>
          </cell>
          <cell r="AY4">
            <v>2719</v>
          </cell>
          <cell r="AZ4">
            <v>1109</v>
          </cell>
          <cell r="BA4">
            <v>1610</v>
          </cell>
          <cell r="BB4">
            <v>2496</v>
          </cell>
          <cell r="BC4">
            <v>901</v>
          </cell>
          <cell r="BD4">
            <v>1595</v>
          </cell>
          <cell r="BE4">
            <v>1921</v>
          </cell>
          <cell r="BF4">
            <v>591</v>
          </cell>
          <cell r="BG4">
            <v>1330</v>
          </cell>
          <cell r="BH4">
            <v>1420</v>
          </cell>
          <cell r="BI4">
            <v>355</v>
          </cell>
          <cell r="BJ4">
            <v>1065</v>
          </cell>
        </row>
        <row r="5">
          <cell r="A5">
            <v>1403000</v>
          </cell>
          <cell r="C5">
            <v>108592</v>
          </cell>
          <cell r="D5">
            <v>53911</v>
          </cell>
          <cell r="E5">
            <v>54681</v>
          </cell>
          <cell r="F5">
            <v>6570</v>
          </cell>
          <cell r="G5">
            <v>3372</v>
          </cell>
          <cell r="H5">
            <v>3198</v>
          </cell>
          <cell r="I5">
            <v>6259</v>
          </cell>
          <cell r="J5">
            <v>3213</v>
          </cell>
          <cell r="K5">
            <v>3046</v>
          </cell>
          <cell r="L5">
            <v>6455</v>
          </cell>
          <cell r="M5">
            <v>3236</v>
          </cell>
          <cell r="N5">
            <v>3219</v>
          </cell>
          <cell r="O5">
            <v>7715</v>
          </cell>
          <cell r="P5">
            <v>3921</v>
          </cell>
          <cell r="Q5">
            <v>3794</v>
          </cell>
          <cell r="R5">
            <v>8540</v>
          </cell>
          <cell r="S5">
            <v>4445</v>
          </cell>
          <cell r="T5">
            <v>4095</v>
          </cell>
          <cell r="U5">
            <v>9086</v>
          </cell>
          <cell r="V5">
            <v>4802</v>
          </cell>
          <cell r="W5">
            <v>4284</v>
          </cell>
          <cell r="X5">
            <v>8563</v>
          </cell>
          <cell r="Y5">
            <v>4475</v>
          </cell>
          <cell r="Z5">
            <v>4088</v>
          </cell>
          <cell r="AA5">
            <v>7772</v>
          </cell>
          <cell r="AB5">
            <v>4074</v>
          </cell>
          <cell r="AC5">
            <v>3698</v>
          </cell>
          <cell r="AD5">
            <v>6716</v>
          </cell>
          <cell r="AE5">
            <v>3472</v>
          </cell>
          <cell r="AF5">
            <v>3244</v>
          </cell>
          <cell r="AG5">
            <v>6551</v>
          </cell>
          <cell r="AH5">
            <v>3343</v>
          </cell>
          <cell r="AI5">
            <v>3208</v>
          </cell>
          <cell r="AJ5">
            <v>7205</v>
          </cell>
          <cell r="AK5">
            <v>3759</v>
          </cell>
          <cell r="AL5">
            <v>3446</v>
          </cell>
          <cell r="AM5">
            <v>7009</v>
          </cell>
          <cell r="AN5">
            <v>3542</v>
          </cell>
          <cell r="AO5">
            <v>3467</v>
          </cell>
          <cell r="AP5">
            <v>5788</v>
          </cell>
          <cell r="AQ5">
            <v>2731</v>
          </cell>
          <cell r="AR5">
            <v>3057</v>
          </cell>
          <cell r="AS5">
            <v>3946</v>
          </cell>
          <cell r="AT5">
            <v>1812</v>
          </cell>
          <cell r="AU5">
            <v>2134</v>
          </cell>
          <cell r="AV5">
            <v>10417</v>
          </cell>
          <cell r="AW5">
            <v>3714</v>
          </cell>
          <cell r="AX5">
            <v>6703</v>
          </cell>
          <cell r="AY5">
            <v>3090</v>
          </cell>
          <cell r="AZ5">
            <v>1288</v>
          </cell>
          <cell r="BA5">
            <v>1802</v>
          </cell>
          <cell r="BB5">
            <v>2926</v>
          </cell>
          <cell r="BC5">
            <v>1087</v>
          </cell>
          <cell r="BD5">
            <v>1839</v>
          </cell>
          <cell r="BE5">
            <v>2523</v>
          </cell>
          <cell r="BF5">
            <v>838</v>
          </cell>
          <cell r="BG5">
            <v>1685</v>
          </cell>
          <cell r="BH5">
            <v>1878</v>
          </cell>
          <cell r="BI5">
            <v>501</v>
          </cell>
          <cell r="BJ5">
            <v>1377</v>
          </cell>
        </row>
        <row r="6">
          <cell r="A6">
            <v>1404000</v>
          </cell>
          <cell r="C6">
            <v>46627</v>
          </cell>
          <cell r="D6">
            <v>22705</v>
          </cell>
          <cell r="E6">
            <v>23922</v>
          </cell>
          <cell r="F6">
            <v>2263</v>
          </cell>
          <cell r="G6">
            <v>1161</v>
          </cell>
          <cell r="H6">
            <v>1102</v>
          </cell>
          <cell r="I6">
            <v>2135</v>
          </cell>
          <cell r="J6">
            <v>1098</v>
          </cell>
          <cell r="K6">
            <v>1037</v>
          </cell>
          <cell r="L6">
            <v>2389</v>
          </cell>
          <cell r="M6">
            <v>1253</v>
          </cell>
          <cell r="N6">
            <v>1136</v>
          </cell>
          <cell r="O6">
            <v>2945</v>
          </cell>
          <cell r="P6">
            <v>1539</v>
          </cell>
          <cell r="Q6">
            <v>1406</v>
          </cell>
          <cell r="R6">
            <v>3357</v>
          </cell>
          <cell r="S6">
            <v>1669</v>
          </cell>
          <cell r="T6">
            <v>1688</v>
          </cell>
          <cell r="U6">
            <v>3492</v>
          </cell>
          <cell r="V6">
            <v>1825</v>
          </cell>
          <cell r="W6">
            <v>1667</v>
          </cell>
          <cell r="X6">
            <v>3547</v>
          </cell>
          <cell r="Y6">
            <v>1860</v>
          </cell>
          <cell r="Z6">
            <v>1687</v>
          </cell>
          <cell r="AA6">
            <v>3403</v>
          </cell>
          <cell r="AB6">
            <v>1768</v>
          </cell>
          <cell r="AC6">
            <v>1635</v>
          </cell>
          <cell r="AD6">
            <v>3032</v>
          </cell>
          <cell r="AE6">
            <v>1540</v>
          </cell>
          <cell r="AF6">
            <v>1492</v>
          </cell>
          <cell r="AG6">
            <v>2969</v>
          </cell>
          <cell r="AH6">
            <v>1486</v>
          </cell>
          <cell r="AI6">
            <v>1483</v>
          </cell>
          <cell r="AJ6">
            <v>3440</v>
          </cell>
          <cell r="AK6">
            <v>1665</v>
          </cell>
          <cell r="AL6">
            <v>1775</v>
          </cell>
          <cell r="AM6">
            <v>3597</v>
          </cell>
          <cell r="AN6">
            <v>1760</v>
          </cell>
          <cell r="AO6">
            <v>1837</v>
          </cell>
          <cell r="AP6">
            <v>3133</v>
          </cell>
          <cell r="AQ6">
            <v>1446</v>
          </cell>
          <cell r="AR6">
            <v>1687</v>
          </cell>
          <cell r="AS6">
            <v>2140</v>
          </cell>
          <cell r="AT6">
            <v>980</v>
          </cell>
          <cell r="AU6">
            <v>1160</v>
          </cell>
          <cell r="AV6">
            <v>4785</v>
          </cell>
          <cell r="AW6">
            <v>1655</v>
          </cell>
          <cell r="AX6">
            <v>3130</v>
          </cell>
          <cell r="AY6">
            <v>1597</v>
          </cell>
          <cell r="AZ6">
            <v>658</v>
          </cell>
          <cell r="BA6">
            <v>939</v>
          </cell>
          <cell r="BB6">
            <v>1377</v>
          </cell>
          <cell r="BC6">
            <v>496</v>
          </cell>
          <cell r="BD6">
            <v>881</v>
          </cell>
          <cell r="BE6">
            <v>1023</v>
          </cell>
          <cell r="BF6">
            <v>324</v>
          </cell>
          <cell r="BG6">
            <v>699</v>
          </cell>
          <cell r="BH6">
            <v>788</v>
          </cell>
          <cell r="BI6">
            <v>177</v>
          </cell>
          <cell r="BJ6">
            <v>611</v>
          </cell>
        </row>
        <row r="7">
          <cell r="A7">
            <v>1405000</v>
          </cell>
          <cell r="C7">
            <v>87519</v>
          </cell>
          <cell r="D7">
            <v>41844</v>
          </cell>
          <cell r="E7">
            <v>45675</v>
          </cell>
          <cell r="F7">
            <v>5322</v>
          </cell>
          <cell r="G7">
            <v>2732</v>
          </cell>
          <cell r="H7">
            <v>2590</v>
          </cell>
          <cell r="I7">
            <v>4915</v>
          </cell>
          <cell r="J7">
            <v>2545</v>
          </cell>
          <cell r="K7">
            <v>2370</v>
          </cell>
          <cell r="L7">
            <v>4533</v>
          </cell>
          <cell r="M7">
            <v>2360</v>
          </cell>
          <cell r="N7">
            <v>2173</v>
          </cell>
          <cell r="O7">
            <v>4820</v>
          </cell>
          <cell r="P7">
            <v>2445</v>
          </cell>
          <cell r="Q7">
            <v>2375</v>
          </cell>
          <cell r="R7">
            <v>5257</v>
          </cell>
          <cell r="S7">
            <v>2731</v>
          </cell>
          <cell r="T7">
            <v>2526</v>
          </cell>
          <cell r="U7">
            <v>6460</v>
          </cell>
          <cell r="V7">
            <v>3180</v>
          </cell>
          <cell r="W7">
            <v>3280</v>
          </cell>
          <cell r="X7">
            <v>7159</v>
          </cell>
          <cell r="Y7">
            <v>3414</v>
          </cell>
          <cell r="Z7">
            <v>3745</v>
          </cell>
          <cell r="AA7">
            <v>7419</v>
          </cell>
          <cell r="AB7">
            <v>3647</v>
          </cell>
          <cell r="AC7">
            <v>3772</v>
          </cell>
          <cell r="AD7">
            <v>6098</v>
          </cell>
          <cell r="AE7">
            <v>3041</v>
          </cell>
          <cell r="AF7">
            <v>3057</v>
          </cell>
          <cell r="AG7">
            <v>5346</v>
          </cell>
          <cell r="AH7">
            <v>2694</v>
          </cell>
          <cell r="AI7">
            <v>2652</v>
          </cell>
          <cell r="AJ7">
            <v>5809</v>
          </cell>
          <cell r="AK7">
            <v>2730</v>
          </cell>
          <cell r="AL7">
            <v>3079</v>
          </cell>
          <cell r="AM7">
            <v>6804</v>
          </cell>
          <cell r="AN7">
            <v>3233</v>
          </cell>
          <cell r="AO7">
            <v>3571</v>
          </cell>
          <cell r="AP7">
            <v>5502</v>
          </cell>
          <cell r="AQ7">
            <v>2548</v>
          </cell>
          <cell r="AR7">
            <v>2954</v>
          </cell>
          <cell r="AS7">
            <v>3678</v>
          </cell>
          <cell r="AT7">
            <v>1596</v>
          </cell>
          <cell r="AU7">
            <v>2082</v>
          </cell>
          <cell r="AV7">
            <v>8397</v>
          </cell>
          <cell r="AW7">
            <v>2948</v>
          </cell>
          <cell r="AX7">
            <v>5449</v>
          </cell>
          <cell r="AY7">
            <v>2690</v>
          </cell>
          <cell r="AZ7">
            <v>1064</v>
          </cell>
          <cell r="BA7">
            <v>1626</v>
          </cell>
          <cell r="BB7">
            <v>2447</v>
          </cell>
          <cell r="BC7">
            <v>930</v>
          </cell>
          <cell r="BD7">
            <v>1517</v>
          </cell>
          <cell r="BE7">
            <v>1825</v>
          </cell>
          <cell r="BF7">
            <v>600</v>
          </cell>
          <cell r="BG7">
            <v>1225</v>
          </cell>
          <cell r="BH7">
            <v>1435</v>
          </cell>
          <cell r="BI7">
            <v>354</v>
          </cell>
          <cell r="BJ7">
            <v>1081</v>
          </cell>
        </row>
        <row r="8">
          <cell r="A8">
            <v>1406000</v>
          </cell>
          <cell r="C8">
            <v>98643</v>
          </cell>
          <cell r="D8">
            <v>48628</v>
          </cell>
          <cell r="E8">
            <v>50015</v>
          </cell>
          <cell r="F8">
            <v>5415</v>
          </cell>
          <cell r="G8">
            <v>2788</v>
          </cell>
          <cell r="H8">
            <v>2627</v>
          </cell>
          <cell r="I8">
            <v>5195</v>
          </cell>
          <cell r="J8">
            <v>2684</v>
          </cell>
          <cell r="K8">
            <v>2511</v>
          </cell>
          <cell r="L8">
            <v>4939</v>
          </cell>
          <cell r="M8">
            <v>2594</v>
          </cell>
          <cell r="N8">
            <v>2345</v>
          </cell>
          <cell r="O8">
            <v>5995</v>
          </cell>
          <cell r="P8">
            <v>3132</v>
          </cell>
          <cell r="Q8">
            <v>2863</v>
          </cell>
          <cell r="R8">
            <v>6568</v>
          </cell>
          <cell r="S8">
            <v>3351</v>
          </cell>
          <cell r="T8">
            <v>3217</v>
          </cell>
          <cell r="U8">
            <v>7443</v>
          </cell>
          <cell r="V8">
            <v>3831</v>
          </cell>
          <cell r="W8">
            <v>3612</v>
          </cell>
          <cell r="X8">
            <v>8043</v>
          </cell>
          <cell r="Y8">
            <v>4088</v>
          </cell>
          <cell r="Z8">
            <v>3955</v>
          </cell>
          <cell r="AA8">
            <v>7583</v>
          </cell>
          <cell r="AB8">
            <v>3994</v>
          </cell>
          <cell r="AC8">
            <v>3589</v>
          </cell>
          <cell r="AD8">
            <v>6281</v>
          </cell>
          <cell r="AE8">
            <v>3250</v>
          </cell>
          <cell r="AF8">
            <v>3031</v>
          </cell>
          <cell r="AG8">
            <v>5965</v>
          </cell>
          <cell r="AH8">
            <v>3000</v>
          </cell>
          <cell r="AI8">
            <v>2965</v>
          </cell>
          <cell r="AJ8">
            <v>7007</v>
          </cell>
          <cell r="AK8">
            <v>3510</v>
          </cell>
          <cell r="AL8">
            <v>3497</v>
          </cell>
          <cell r="AM8">
            <v>7701</v>
          </cell>
          <cell r="AN8">
            <v>3851</v>
          </cell>
          <cell r="AO8">
            <v>3850</v>
          </cell>
          <cell r="AP8">
            <v>6259</v>
          </cell>
          <cell r="AQ8">
            <v>3049</v>
          </cell>
          <cell r="AR8">
            <v>3210</v>
          </cell>
          <cell r="AS8">
            <v>4119</v>
          </cell>
          <cell r="AT8">
            <v>1829</v>
          </cell>
          <cell r="AU8">
            <v>2290</v>
          </cell>
          <cell r="AV8">
            <v>10130</v>
          </cell>
          <cell r="AW8">
            <v>3677</v>
          </cell>
          <cell r="AX8">
            <v>6453</v>
          </cell>
          <cell r="AY8">
            <v>3103</v>
          </cell>
          <cell r="AZ8">
            <v>1277</v>
          </cell>
          <cell r="BA8">
            <v>1826</v>
          </cell>
          <cell r="BB8">
            <v>2990</v>
          </cell>
          <cell r="BC8">
            <v>1158</v>
          </cell>
          <cell r="BD8">
            <v>1832</v>
          </cell>
          <cell r="BE8">
            <v>2326</v>
          </cell>
          <cell r="BF8">
            <v>795</v>
          </cell>
          <cell r="BG8">
            <v>1531</v>
          </cell>
          <cell r="BH8">
            <v>1711</v>
          </cell>
          <cell r="BI8">
            <v>447</v>
          </cell>
          <cell r="BJ8">
            <v>1264</v>
          </cell>
        </row>
        <row r="9">
          <cell r="A9">
            <v>1407000</v>
          </cell>
          <cell r="C9">
            <v>62275</v>
          </cell>
          <cell r="D9">
            <v>30945</v>
          </cell>
          <cell r="E9">
            <v>31330</v>
          </cell>
          <cell r="F9">
            <v>3138</v>
          </cell>
          <cell r="G9">
            <v>1602</v>
          </cell>
          <cell r="H9">
            <v>1536</v>
          </cell>
          <cell r="I9">
            <v>2871</v>
          </cell>
          <cell r="J9">
            <v>1476</v>
          </cell>
          <cell r="K9">
            <v>1395</v>
          </cell>
          <cell r="L9">
            <v>3229</v>
          </cell>
          <cell r="M9">
            <v>1660</v>
          </cell>
          <cell r="N9">
            <v>1569</v>
          </cell>
          <cell r="O9">
            <v>4047</v>
          </cell>
          <cell r="P9">
            <v>2108</v>
          </cell>
          <cell r="Q9">
            <v>1939</v>
          </cell>
          <cell r="R9">
            <v>4680</v>
          </cell>
          <cell r="S9">
            <v>2424</v>
          </cell>
          <cell r="T9">
            <v>2256</v>
          </cell>
          <cell r="U9">
            <v>4955</v>
          </cell>
          <cell r="V9">
            <v>2643</v>
          </cell>
          <cell r="W9">
            <v>2312</v>
          </cell>
          <cell r="X9">
            <v>4762</v>
          </cell>
          <cell r="Y9">
            <v>2581</v>
          </cell>
          <cell r="Z9">
            <v>2181</v>
          </cell>
          <cell r="AA9">
            <v>4377</v>
          </cell>
          <cell r="AB9">
            <v>2293</v>
          </cell>
          <cell r="AC9">
            <v>2084</v>
          </cell>
          <cell r="AD9">
            <v>3806</v>
          </cell>
          <cell r="AE9">
            <v>2002</v>
          </cell>
          <cell r="AF9">
            <v>1804</v>
          </cell>
          <cell r="AG9">
            <v>3589</v>
          </cell>
          <cell r="AH9">
            <v>1821</v>
          </cell>
          <cell r="AI9">
            <v>1768</v>
          </cell>
          <cell r="AJ9">
            <v>4526</v>
          </cell>
          <cell r="AK9">
            <v>2302</v>
          </cell>
          <cell r="AL9">
            <v>2224</v>
          </cell>
          <cell r="AM9">
            <v>5247</v>
          </cell>
          <cell r="AN9">
            <v>2568</v>
          </cell>
          <cell r="AO9">
            <v>2679</v>
          </cell>
          <cell r="AP9">
            <v>4334</v>
          </cell>
          <cell r="AQ9">
            <v>2101</v>
          </cell>
          <cell r="AR9">
            <v>2233</v>
          </cell>
          <cell r="AS9">
            <v>2484</v>
          </cell>
          <cell r="AT9">
            <v>1182</v>
          </cell>
          <cell r="AU9">
            <v>1302</v>
          </cell>
          <cell r="AV9">
            <v>6230</v>
          </cell>
          <cell r="AW9">
            <v>2182</v>
          </cell>
          <cell r="AX9">
            <v>4048</v>
          </cell>
          <cell r="AY9">
            <v>1759</v>
          </cell>
          <cell r="AZ9">
            <v>726</v>
          </cell>
          <cell r="BA9">
            <v>1033</v>
          </cell>
          <cell r="BB9">
            <v>1726</v>
          </cell>
          <cell r="BC9">
            <v>644</v>
          </cell>
          <cell r="BD9">
            <v>1082</v>
          </cell>
          <cell r="BE9">
            <v>1490</v>
          </cell>
          <cell r="BF9">
            <v>475</v>
          </cell>
          <cell r="BG9">
            <v>1015</v>
          </cell>
          <cell r="BH9">
            <v>1255</v>
          </cell>
          <cell r="BI9">
            <v>337</v>
          </cell>
          <cell r="BJ9">
            <v>918</v>
          </cell>
        </row>
        <row r="10">
          <cell r="A10">
            <v>1408000</v>
          </cell>
          <cell r="C10">
            <v>109889</v>
          </cell>
          <cell r="D10">
            <v>53103</v>
          </cell>
          <cell r="E10">
            <v>56786</v>
          </cell>
          <cell r="F10">
            <v>7194</v>
          </cell>
          <cell r="G10">
            <v>3731</v>
          </cell>
          <cell r="H10">
            <v>3463</v>
          </cell>
          <cell r="I10">
            <v>6569</v>
          </cell>
          <cell r="J10">
            <v>3426</v>
          </cell>
          <cell r="K10">
            <v>3143</v>
          </cell>
          <cell r="L10">
            <v>5725</v>
          </cell>
          <cell r="M10">
            <v>2954</v>
          </cell>
          <cell r="N10">
            <v>2771</v>
          </cell>
          <cell r="O10">
            <v>5724</v>
          </cell>
          <cell r="P10">
            <v>2947</v>
          </cell>
          <cell r="Q10">
            <v>2777</v>
          </cell>
          <cell r="R10">
            <v>6170</v>
          </cell>
          <cell r="S10">
            <v>3156</v>
          </cell>
          <cell r="T10">
            <v>3014</v>
          </cell>
          <cell r="U10">
            <v>8336</v>
          </cell>
          <cell r="V10">
            <v>4194</v>
          </cell>
          <cell r="W10">
            <v>4142</v>
          </cell>
          <cell r="X10">
            <v>10556</v>
          </cell>
          <cell r="Y10">
            <v>5070</v>
          </cell>
          <cell r="Z10">
            <v>5486</v>
          </cell>
          <cell r="AA10">
            <v>10404</v>
          </cell>
          <cell r="AB10">
            <v>5149</v>
          </cell>
          <cell r="AC10">
            <v>5255</v>
          </cell>
          <cell r="AD10">
            <v>7422</v>
          </cell>
          <cell r="AE10">
            <v>3721</v>
          </cell>
          <cell r="AF10">
            <v>3701</v>
          </cell>
          <cell r="AG10">
            <v>6265</v>
          </cell>
          <cell r="AH10">
            <v>3172</v>
          </cell>
          <cell r="AI10">
            <v>3093</v>
          </cell>
          <cell r="AJ10">
            <v>6547</v>
          </cell>
          <cell r="AK10">
            <v>3115</v>
          </cell>
          <cell r="AL10">
            <v>3432</v>
          </cell>
          <cell r="AM10">
            <v>8482</v>
          </cell>
          <cell r="AN10">
            <v>3866</v>
          </cell>
          <cell r="AO10">
            <v>4616</v>
          </cell>
          <cell r="AP10">
            <v>7625</v>
          </cell>
          <cell r="AQ10">
            <v>3492</v>
          </cell>
          <cell r="AR10">
            <v>4133</v>
          </cell>
          <cell r="AS10">
            <v>4426</v>
          </cell>
          <cell r="AT10">
            <v>2026</v>
          </cell>
          <cell r="AU10">
            <v>2400</v>
          </cell>
          <cell r="AV10">
            <v>8444</v>
          </cell>
          <cell r="AW10">
            <v>3084</v>
          </cell>
          <cell r="AX10">
            <v>5360</v>
          </cell>
          <cell r="AY10">
            <v>2982</v>
          </cell>
          <cell r="AZ10">
            <v>1219</v>
          </cell>
          <cell r="BA10">
            <v>1763</v>
          </cell>
          <cell r="BB10">
            <v>2435</v>
          </cell>
          <cell r="BC10">
            <v>954</v>
          </cell>
          <cell r="BD10">
            <v>1481</v>
          </cell>
          <cell r="BE10">
            <v>1815</v>
          </cell>
          <cell r="BF10">
            <v>593</v>
          </cell>
          <cell r="BG10">
            <v>1222</v>
          </cell>
          <cell r="BH10">
            <v>1212</v>
          </cell>
          <cell r="BI10">
            <v>318</v>
          </cell>
          <cell r="BJ10">
            <v>894</v>
          </cell>
        </row>
        <row r="11">
          <cell r="A11">
            <v>1409000</v>
          </cell>
          <cell r="C11">
            <v>35892</v>
          </cell>
          <cell r="D11">
            <v>17792</v>
          </cell>
          <cell r="E11">
            <v>18100</v>
          </cell>
          <cell r="F11">
            <v>1727</v>
          </cell>
          <cell r="G11">
            <v>863</v>
          </cell>
          <cell r="H11">
            <v>864</v>
          </cell>
          <cell r="I11">
            <v>1575</v>
          </cell>
          <cell r="J11">
            <v>785</v>
          </cell>
          <cell r="K11">
            <v>790</v>
          </cell>
          <cell r="L11">
            <v>1679</v>
          </cell>
          <cell r="M11">
            <v>870</v>
          </cell>
          <cell r="N11">
            <v>809</v>
          </cell>
          <cell r="O11">
            <v>2201</v>
          </cell>
          <cell r="P11">
            <v>1144</v>
          </cell>
          <cell r="Q11">
            <v>1057</v>
          </cell>
          <cell r="R11">
            <v>2683</v>
          </cell>
          <cell r="S11">
            <v>1433</v>
          </cell>
          <cell r="T11">
            <v>1250</v>
          </cell>
          <cell r="U11">
            <v>2751</v>
          </cell>
          <cell r="V11">
            <v>1467</v>
          </cell>
          <cell r="W11">
            <v>1284</v>
          </cell>
          <cell r="X11">
            <v>2604</v>
          </cell>
          <cell r="Y11">
            <v>1438</v>
          </cell>
          <cell r="Z11">
            <v>1166</v>
          </cell>
          <cell r="AA11">
            <v>2277</v>
          </cell>
          <cell r="AB11">
            <v>1198</v>
          </cell>
          <cell r="AC11">
            <v>1079</v>
          </cell>
          <cell r="AD11">
            <v>2198</v>
          </cell>
          <cell r="AE11">
            <v>1128</v>
          </cell>
          <cell r="AF11">
            <v>1070</v>
          </cell>
          <cell r="AG11">
            <v>2265</v>
          </cell>
          <cell r="AH11">
            <v>1182</v>
          </cell>
          <cell r="AI11">
            <v>1083</v>
          </cell>
          <cell r="AJ11">
            <v>2667</v>
          </cell>
          <cell r="AK11">
            <v>1408</v>
          </cell>
          <cell r="AL11">
            <v>1259</v>
          </cell>
          <cell r="AM11">
            <v>2766</v>
          </cell>
          <cell r="AN11">
            <v>1410</v>
          </cell>
          <cell r="AO11">
            <v>1356</v>
          </cell>
          <cell r="AP11">
            <v>2439</v>
          </cell>
          <cell r="AQ11">
            <v>1167</v>
          </cell>
          <cell r="AR11">
            <v>1272</v>
          </cell>
          <cell r="AS11">
            <v>1577</v>
          </cell>
          <cell r="AT11">
            <v>761</v>
          </cell>
          <cell r="AU11">
            <v>816</v>
          </cell>
          <cell r="AV11">
            <v>4483</v>
          </cell>
          <cell r="AW11">
            <v>1538</v>
          </cell>
          <cell r="AX11">
            <v>2945</v>
          </cell>
          <cell r="AY11">
            <v>1288</v>
          </cell>
          <cell r="AZ11">
            <v>505</v>
          </cell>
          <cell r="BA11">
            <v>783</v>
          </cell>
          <cell r="BB11">
            <v>1095</v>
          </cell>
          <cell r="BC11">
            <v>425</v>
          </cell>
          <cell r="BD11">
            <v>670</v>
          </cell>
          <cell r="BE11">
            <v>1195</v>
          </cell>
          <cell r="BF11">
            <v>373</v>
          </cell>
          <cell r="BG11">
            <v>822</v>
          </cell>
          <cell r="BH11">
            <v>905</v>
          </cell>
          <cell r="BI11">
            <v>235</v>
          </cell>
          <cell r="BJ11">
            <v>670</v>
          </cell>
        </row>
        <row r="12">
          <cell r="A12">
            <v>1410000</v>
          </cell>
          <cell r="C12">
            <v>32308</v>
          </cell>
          <cell r="D12">
            <v>16115</v>
          </cell>
          <cell r="E12">
            <v>16193</v>
          </cell>
          <cell r="F12">
            <v>1701</v>
          </cell>
          <cell r="G12">
            <v>867</v>
          </cell>
          <cell r="H12">
            <v>834</v>
          </cell>
          <cell r="I12">
            <v>1517</v>
          </cell>
          <cell r="J12">
            <v>762</v>
          </cell>
          <cell r="K12">
            <v>755</v>
          </cell>
          <cell r="L12">
            <v>1734</v>
          </cell>
          <cell r="M12">
            <v>873</v>
          </cell>
          <cell r="N12">
            <v>861</v>
          </cell>
          <cell r="O12">
            <v>2143</v>
          </cell>
          <cell r="P12">
            <v>1091</v>
          </cell>
          <cell r="Q12">
            <v>1052</v>
          </cell>
          <cell r="R12">
            <v>2561</v>
          </cell>
          <cell r="S12">
            <v>1362</v>
          </cell>
          <cell r="T12">
            <v>1199</v>
          </cell>
          <cell r="U12">
            <v>2598</v>
          </cell>
          <cell r="V12">
            <v>1392</v>
          </cell>
          <cell r="W12">
            <v>1206</v>
          </cell>
          <cell r="X12">
            <v>2303</v>
          </cell>
          <cell r="Y12">
            <v>1249</v>
          </cell>
          <cell r="Z12">
            <v>1054</v>
          </cell>
          <cell r="AA12">
            <v>2034</v>
          </cell>
          <cell r="AB12">
            <v>1105</v>
          </cell>
          <cell r="AC12">
            <v>929</v>
          </cell>
          <cell r="AD12">
            <v>1845</v>
          </cell>
          <cell r="AE12">
            <v>957</v>
          </cell>
          <cell r="AF12">
            <v>888</v>
          </cell>
          <cell r="AG12">
            <v>2035</v>
          </cell>
          <cell r="AH12">
            <v>1069</v>
          </cell>
          <cell r="AI12">
            <v>966</v>
          </cell>
          <cell r="AJ12">
            <v>2271</v>
          </cell>
          <cell r="AK12">
            <v>1194</v>
          </cell>
          <cell r="AL12">
            <v>1077</v>
          </cell>
          <cell r="AM12">
            <v>2274</v>
          </cell>
          <cell r="AN12">
            <v>1162</v>
          </cell>
          <cell r="AO12">
            <v>1112</v>
          </cell>
          <cell r="AP12">
            <v>2011</v>
          </cell>
          <cell r="AQ12">
            <v>982</v>
          </cell>
          <cell r="AR12">
            <v>1029</v>
          </cell>
          <cell r="AS12">
            <v>1361</v>
          </cell>
          <cell r="AT12">
            <v>596</v>
          </cell>
          <cell r="AU12">
            <v>765</v>
          </cell>
          <cell r="AV12">
            <v>3920</v>
          </cell>
          <cell r="AW12">
            <v>1454</v>
          </cell>
          <cell r="AX12">
            <v>2466</v>
          </cell>
          <cell r="AY12">
            <v>1155</v>
          </cell>
          <cell r="AZ12">
            <v>480</v>
          </cell>
          <cell r="BA12">
            <v>675</v>
          </cell>
          <cell r="BB12">
            <v>1166</v>
          </cell>
          <cell r="BC12">
            <v>456</v>
          </cell>
          <cell r="BD12">
            <v>710</v>
          </cell>
          <cell r="BE12">
            <v>895</v>
          </cell>
          <cell r="BF12">
            <v>305</v>
          </cell>
          <cell r="BG12">
            <v>590</v>
          </cell>
          <cell r="BH12">
            <v>704</v>
          </cell>
          <cell r="BI12">
            <v>213</v>
          </cell>
          <cell r="BJ12">
            <v>491</v>
          </cell>
        </row>
        <row r="13">
          <cell r="A13">
            <v>1411000</v>
          </cell>
          <cell r="C13">
            <v>46836</v>
          </cell>
          <cell r="D13">
            <v>23347</v>
          </cell>
          <cell r="E13">
            <v>23489</v>
          </cell>
          <cell r="F13">
            <v>2611</v>
          </cell>
          <cell r="G13">
            <v>1320</v>
          </cell>
          <cell r="H13">
            <v>1291</v>
          </cell>
          <cell r="I13">
            <v>2411</v>
          </cell>
          <cell r="J13">
            <v>1233</v>
          </cell>
          <cell r="K13">
            <v>1178</v>
          </cell>
          <cell r="L13">
            <v>2666</v>
          </cell>
          <cell r="M13">
            <v>1368</v>
          </cell>
          <cell r="N13">
            <v>1298</v>
          </cell>
          <cell r="O13">
            <v>3196</v>
          </cell>
          <cell r="P13">
            <v>1652</v>
          </cell>
          <cell r="Q13">
            <v>1544</v>
          </cell>
          <cell r="R13">
            <v>3577</v>
          </cell>
          <cell r="S13">
            <v>1851</v>
          </cell>
          <cell r="T13">
            <v>1726</v>
          </cell>
          <cell r="U13">
            <v>3685</v>
          </cell>
          <cell r="V13">
            <v>1957</v>
          </cell>
          <cell r="W13">
            <v>1728</v>
          </cell>
          <cell r="X13">
            <v>3437</v>
          </cell>
          <cell r="Y13">
            <v>1818</v>
          </cell>
          <cell r="Z13">
            <v>1619</v>
          </cell>
          <cell r="AA13">
            <v>3090</v>
          </cell>
          <cell r="AB13">
            <v>1667</v>
          </cell>
          <cell r="AC13">
            <v>1423</v>
          </cell>
          <cell r="AD13">
            <v>2820</v>
          </cell>
          <cell r="AE13">
            <v>1466</v>
          </cell>
          <cell r="AF13">
            <v>1354</v>
          </cell>
          <cell r="AG13">
            <v>2907</v>
          </cell>
          <cell r="AH13">
            <v>1506</v>
          </cell>
          <cell r="AI13">
            <v>1401</v>
          </cell>
          <cell r="AJ13">
            <v>3377</v>
          </cell>
          <cell r="AK13">
            <v>1769</v>
          </cell>
          <cell r="AL13">
            <v>1608</v>
          </cell>
          <cell r="AM13">
            <v>3446</v>
          </cell>
          <cell r="AN13">
            <v>1766</v>
          </cell>
          <cell r="AO13">
            <v>1680</v>
          </cell>
          <cell r="AP13">
            <v>2938</v>
          </cell>
          <cell r="AQ13">
            <v>1448</v>
          </cell>
          <cell r="AR13">
            <v>1490</v>
          </cell>
          <cell r="AS13">
            <v>1596</v>
          </cell>
          <cell r="AT13">
            <v>725</v>
          </cell>
          <cell r="AU13">
            <v>871</v>
          </cell>
          <cell r="AV13">
            <v>5079</v>
          </cell>
          <cell r="AW13">
            <v>1801</v>
          </cell>
          <cell r="AX13">
            <v>3278</v>
          </cell>
          <cell r="AY13">
            <v>1483</v>
          </cell>
          <cell r="AZ13">
            <v>617</v>
          </cell>
          <cell r="BA13">
            <v>866</v>
          </cell>
          <cell r="BB13">
            <v>1433</v>
          </cell>
          <cell r="BC13">
            <v>526</v>
          </cell>
          <cell r="BD13">
            <v>907</v>
          </cell>
          <cell r="BE13">
            <v>1263</v>
          </cell>
          <cell r="BF13">
            <v>397</v>
          </cell>
          <cell r="BG13">
            <v>866</v>
          </cell>
          <cell r="BH13">
            <v>900</v>
          </cell>
          <cell r="BI13">
            <v>261</v>
          </cell>
          <cell r="BJ13">
            <v>639</v>
          </cell>
        </row>
        <row r="14">
          <cell r="A14">
            <v>1412000</v>
          </cell>
          <cell r="C14">
            <v>148929</v>
          </cell>
          <cell r="D14">
            <v>72650</v>
          </cell>
          <cell r="E14">
            <v>76279</v>
          </cell>
          <cell r="F14">
            <v>9220</v>
          </cell>
          <cell r="G14">
            <v>4704</v>
          </cell>
          <cell r="H14">
            <v>4516</v>
          </cell>
          <cell r="I14">
            <v>8091</v>
          </cell>
          <cell r="J14">
            <v>4126</v>
          </cell>
          <cell r="K14">
            <v>3965</v>
          </cell>
          <cell r="L14">
            <v>8206</v>
          </cell>
          <cell r="M14">
            <v>4205</v>
          </cell>
          <cell r="N14">
            <v>4001</v>
          </cell>
          <cell r="O14">
            <v>9043</v>
          </cell>
          <cell r="P14">
            <v>4619</v>
          </cell>
          <cell r="Q14">
            <v>4424</v>
          </cell>
          <cell r="R14">
            <v>10033</v>
          </cell>
          <cell r="S14">
            <v>5181</v>
          </cell>
          <cell r="T14">
            <v>4852</v>
          </cell>
          <cell r="U14">
            <v>11699</v>
          </cell>
          <cell r="V14">
            <v>5852</v>
          </cell>
          <cell r="W14">
            <v>5847</v>
          </cell>
          <cell r="X14">
            <v>12457</v>
          </cell>
          <cell r="Y14">
            <v>6287</v>
          </cell>
          <cell r="Z14">
            <v>6170</v>
          </cell>
          <cell r="AA14">
            <v>11951</v>
          </cell>
          <cell r="AB14">
            <v>6044</v>
          </cell>
          <cell r="AC14">
            <v>5907</v>
          </cell>
          <cell r="AD14">
            <v>9701</v>
          </cell>
          <cell r="AE14">
            <v>4942</v>
          </cell>
          <cell r="AF14">
            <v>4759</v>
          </cell>
          <cell r="AG14">
            <v>8954</v>
          </cell>
          <cell r="AH14">
            <v>4508</v>
          </cell>
          <cell r="AI14">
            <v>4446</v>
          </cell>
          <cell r="AJ14">
            <v>10178</v>
          </cell>
          <cell r="AK14">
            <v>5130</v>
          </cell>
          <cell r="AL14">
            <v>5048</v>
          </cell>
          <cell r="AM14">
            <v>10561</v>
          </cell>
          <cell r="AN14">
            <v>5242</v>
          </cell>
          <cell r="AO14">
            <v>5319</v>
          </cell>
          <cell r="AP14">
            <v>8780</v>
          </cell>
          <cell r="AQ14">
            <v>4220</v>
          </cell>
          <cell r="AR14">
            <v>4560</v>
          </cell>
          <cell r="AS14">
            <v>5721</v>
          </cell>
          <cell r="AT14">
            <v>2480</v>
          </cell>
          <cell r="AU14">
            <v>3241</v>
          </cell>
          <cell r="AV14">
            <v>14334</v>
          </cell>
          <cell r="AW14">
            <v>5110</v>
          </cell>
          <cell r="AX14">
            <v>9224</v>
          </cell>
          <cell r="AY14">
            <v>4445</v>
          </cell>
          <cell r="AZ14">
            <v>1758</v>
          </cell>
          <cell r="BA14">
            <v>2687</v>
          </cell>
          <cell r="BB14">
            <v>4215</v>
          </cell>
          <cell r="BC14">
            <v>1565</v>
          </cell>
          <cell r="BD14">
            <v>2650</v>
          </cell>
          <cell r="BE14">
            <v>3337</v>
          </cell>
          <cell r="BF14">
            <v>1171</v>
          </cell>
          <cell r="BG14">
            <v>2166</v>
          </cell>
          <cell r="BH14">
            <v>2337</v>
          </cell>
          <cell r="BI14">
            <v>616</v>
          </cell>
          <cell r="BJ14">
            <v>1721</v>
          </cell>
        </row>
        <row r="15">
          <cell r="A15">
            <v>1413000</v>
          </cell>
          <cell r="C15">
            <v>74420</v>
          </cell>
          <cell r="D15">
            <v>36593</v>
          </cell>
          <cell r="E15">
            <v>37827</v>
          </cell>
          <cell r="F15">
            <v>4010</v>
          </cell>
          <cell r="G15">
            <v>2042</v>
          </cell>
          <cell r="H15">
            <v>1968</v>
          </cell>
          <cell r="I15">
            <v>3679</v>
          </cell>
          <cell r="J15">
            <v>1829</v>
          </cell>
          <cell r="K15">
            <v>1850</v>
          </cell>
          <cell r="L15">
            <v>4224</v>
          </cell>
          <cell r="M15">
            <v>2158</v>
          </cell>
          <cell r="N15">
            <v>2066</v>
          </cell>
          <cell r="O15">
            <v>5074</v>
          </cell>
          <cell r="P15">
            <v>2627</v>
          </cell>
          <cell r="Q15">
            <v>2447</v>
          </cell>
          <cell r="R15">
            <v>5678</v>
          </cell>
          <cell r="S15">
            <v>2980</v>
          </cell>
          <cell r="T15">
            <v>2698</v>
          </cell>
          <cell r="U15">
            <v>5957</v>
          </cell>
          <cell r="V15">
            <v>3059</v>
          </cell>
          <cell r="W15">
            <v>2898</v>
          </cell>
          <cell r="X15">
            <v>5711</v>
          </cell>
          <cell r="Y15">
            <v>2992</v>
          </cell>
          <cell r="Z15">
            <v>2719</v>
          </cell>
          <cell r="AA15">
            <v>5144</v>
          </cell>
          <cell r="AB15">
            <v>2689</v>
          </cell>
          <cell r="AC15">
            <v>2455</v>
          </cell>
          <cell r="AD15">
            <v>4655</v>
          </cell>
          <cell r="AE15">
            <v>2414</v>
          </cell>
          <cell r="AF15">
            <v>2241</v>
          </cell>
          <cell r="AG15">
            <v>4787</v>
          </cell>
          <cell r="AH15">
            <v>2488</v>
          </cell>
          <cell r="AI15">
            <v>2299</v>
          </cell>
          <cell r="AJ15">
            <v>5479</v>
          </cell>
          <cell r="AK15">
            <v>2789</v>
          </cell>
          <cell r="AL15">
            <v>2690</v>
          </cell>
          <cell r="AM15">
            <v>5249</v>
          </cell>
          <cell r="AN15">
            <v>2592</v>
          </cell>
          <cell r="AO15">
            <v>2657</v>
          </cell>
          <cell r="AP15">
            <v>4377</v>
          </cell>
          <cell r="AQ15">
            <v>2026</v>
          </cell>
          <cell r="AR15">
            <v>2351</v>
          </cell>
          <cell r="AS15">
            <v>2766</v>
          </cell>
          <cell r="AT15">
            <v>1229</v>
          </cell>
          <cell r="AU15">
            <v>1537</v>
          </cell>
          <cell r="AV15">
            <v>7630</v>
          </cell>
          <cell r="AW15">
            <v>2679</v>
          </cell>
          <cell r="AX15">
            <v>4951</v>
          </cell>
          <cell r="AY15">
            <v>2390</v>
          </cell>
          <cell r="AZ15">
            <v>941</v>
          </cell>
          <cell r="BA15">
            <v>1449</v>
          </cell>
          <cell r="BB15">
            <v>2204</v>
          </cell>
          <cell r="BC15">
            <v>837</v>
          </cell>
          <cell r="BD15">
            <v>1367</v>
          </cell>
          <cell r="BE15">
            <v>1804</v>
          </cell>
          <cell r="BF15">
            <v>564</v>
          </cell>
          <cell r="BG15">
            <v>1240</v>
          </cell>
          <cell r="BH15">
            <v>1232</v>
          </cell>
          <cell r="BI15">
            <v>337</v>
          </cell>
          <cell r="BJ15">
            <v>895</v>
          </cell>
        </row>
        <row r="16">
          <cell r="A16">
            <v>1414000</v>
          </cell>
          <cell r="C16">
            <v>78321</v>
          </cell>
          <cell r="D16">
            <v>38228</v>
          </cell>
          <cell r="E16">
            <v>40093</v>
          </cell>
          <cell r="F16">
            <v>4447</v>
          </cell>
          <cell r="G16">
            <v>2304</v>
          </cell>
          <cell r="H16">
            <v>2143</v>
          </cell>
          <cell r="I16">
            <v>4044</v>
          </cell>
          <cell r="J16">
            <v>2036</v>
          </cell>
          <cell r="K16">
            <v>2008</v>
          </cell>
          <cell r="L16">
            <v>3995</v>
          </cell>
          <cell r="M16">
            <v>2058</v>
          </cell>
          <cell r="N16">
            <v>1937</v>
          </cell>
          <cell r="O16">
            <v>4460</v>
          </cell>
          <cell r="P16">
            <v>2256</v>
          </cell>
          <cell r="Q16">
            <v>2204</v>
          </cell>
          <cell r="R16">
            <v>5362</v>
          </cell>
          <cell r="S16">
            <v>2751</v>
          </cell>
          <cell r="T16">
            <v>2611</v>
          </cell>
          <cell r="U16">
            <v>6484</v>
          </cell>
          <cell r="V16">
            <v>3272</v>
          </cell>
          <cell r="W16">
            <v>3212</v>
          </cell>
          <cell r="X16">
            <v>6565</v>
          </cell>
          <cell r="Y16">
            <v>3361</v>
          </cell>
          <cell r="Z16">
            <v>3204</v>
          </cell>
          <cell r="AA16">
            <v>6132</v>
          </cell>
          <cell r="AB16">
            <v>3097</v>
          </cell>
          <cell r="AC16">
            <v>3035</v>
          </cell>
          <cell r="AD16">
            <v>4978</v>
          </cell>
          <cell r="AE16">
            <v>2554</v>
          </cell>
          <cell r="AF16">
            <v>2424</v>
          </cell>
          <cell r="AG16">
            <v>4738</v>
          </cell>
          <cell r="AH16">
            <v>2371</v>
          </cell>
          <cell r="AI16">
            <v>2367</v>
          </cell>
          <cell r="AJ16">
            <v>5747</v>
          </cell>
          <cell r="AK16">
            <v>2832</v>
          </cell>
          <cell r="AL16">
            <v>2915</v>
          </cell>
          <cell r="AM16">
            <v>6299</v>
          </cell>
          <cell r="AN16">
            <v>3091</v>
          </cell>
          <cell r="AO16">
            <v>3208</v>
          </cell>
          <cell r="AP16">
            <v>5018</v>
          </cell>
          <cell r="AQ16">
            <v>2419</v>
          </cell>
          <cell r="AR16">
            <v>2599</v>
          </cell>
          <cell r="AS16">
            <v>2898</v>
          </cell>
          <cell r="AT16">
            <v>1295</v>
          </cell>
          <cell r="AU16">
            <v>1603</v>
          </cell>
          <cell r="AV16">
            <v>7154</v>
          </cell>
          <cell r="AW16">
            <v>2531</v>
          </cell>
          <cell r="AX16">
            <v>4623</v>
          </cell>
          <cell r="AY16">
            <v>2348</v>
          </cell>
          <cell r="AZ16">
            <v>932</v>
          </cell>
          <cell r="BA16">
            <v>1416</v>
          </cell>
          <cell r="BB16">
            <v>2117</v>
          </cell>
          <cell r="BC16">
            <v>766</v>
          </cell>
          <cell r="BD16">
            <v>1351</v>
          </cell>
          <cell r="BE16">
            <v>1610</v>
          </cell>
          <cell r="BF16">
            <v>548</v>
          </cell>
          <cell r="BG16">
            <v>1062</v>
          </cell>
          <cell r="BH16">
            <v>1079</v>
          </cell>
          <cell r="BI16">
            <v>285</v>
          </cell>
          <cell r="BJ16">
            <v>794</v>
          </cell>
        </row>
        <row r="17">
          <cell r="A17">
            <v>1415000</v>
          </cell>
          <cell r="C17">
            <v>87830</v>
          </cell>
          <cell r="D17">
            <v>44569</v>
          </cell>
          <cell r="E17">
            <v>43261</v>
          </cell>
          <cell r="F17">
            <v>5197</v>
          </cell>
          <cell r="G17">
            <v>2658</v>
          </cell>
          <cell r="H17">
            <v>2539</v>
          </cell>
          <cell r="I17">
            <v>4962</v>
          </cell>
          <cell r="J17">
            <v>2520</v>
          </cell>
          <cell r="K17">
            <v>2442</v>
          </cell>
          <cell r="L17">
            <v>5634</v>
          </cell>
          <cell r="M17">
            <v>2974</v>
          </cell>
          <cell r="N17">
            <v>2660</v>
          </cell>
          <cell r="O17">
            <v>6629</v>
          </cell>
          <cell r="P17">
            <v>3454</v>
          </cell>
          <cell r="Q17">
            <v>3175</v>
          </cell>
          <cell r="R17">
            <v>7488</v>
          </cell>
          <cell r="S17">
            <v>4006</v>
          </cell>
          <cell r="T17">
            <v>3482</v>
          </cell>
          <cell r="U17">
            <v>7147</v>
          </cell>
          <cell r="V17">
            <v>3719</v>
          </cell>
          <cell r="W17">
            <v>3428</v>
          </cell>
          <cell r="X17">
            <v>6476</v>
          </cell>
          <cell r="Y17">
            <v>3428</v>
          </cell>
          <cell r="Z17">
            <v>3048</v>
          </cell>
          <cell r="AA17">
            <v>5979</v>
          </cell>
          <cell r="AB17">
            <v>3191</v>
          </cell>
          <cell r="AC17">
            <v>2788</v>
          </cell>
          <cell r="AD17">
            <v>5957</v>
          </cell>
          <cell r="AE17">
            <v>3093</v>
          </cell>
          <cell r="AF17">
            <v>2864</v>
          </cell>
          <cell r="AG17">
            <v>6048</v>
          </cell>
          <cell r="AH17">
            <v>3294</v>
          </cell>
          <cell r="AI17">
            <v>2754</v>
          </cell>
          <cell r="AJ17">
            <v>6116</v>
          </cell>
          <cell r="AK17">
            <v>3343</v>
          </cell>
          <cell r="AL17">
            <v>2773</v>
          </cell>
          <cell r="AM17">
            <v>5196</v>
          </cell>
          <cell r="AN17">
            <v>2770</v>
          </cell>
          <cell r="AO17">
            <v>2426</v>
          </cell>
          <cell r="AP17">
            <v>3944</v>
          </cell>
          <cell r="AQ17">
            <v>1998</v>
          </cell>
          <cell r="AR17">
            <v>1946</v>
          </cell>
          <cell r="AS17">
            <v>2432</v>
          </cell>
          <cell r="AT17">
            <v>1056</v>
          </cell>
          <cell r="AU17">
            <v>1376</v>
          </cell>
          <cell r="AV17">
            <v>8625</v>
          </cell>
          <cell r="AW17">
            <v>3065</v>
          </cell>
          <cell r="AX17">
            <v>5560</v>
          </cell>
          <cell r="AY17">
            <v>2657</v>
          </cell>
          <cell r="AZ17">
            <v>1082</v>
          </cell>
          <cell r="BA17">
            <v>1575</v>
          </cell>
          <cell r="BB17">
            <v>2557</v>
          </cell>
          <cell r="BC17">
            <v>969</v>
          </cell>
          <cell r="BD17">
            <v>1588</v>
          </cell>
          <cell r="BE17">
            <v>2041</v>
          </cell>
          <cell r="BF17">
            <v>625</v>
          </cell>
          <cell r="BG17">
            <v>1416</v>
          </cell>
          <cell r="BH17">
            <v>1370</v>
          </cell>
          <cell r="BI17">
            <v>389</v>
          </cell>
          <cell r="BJ17">
            <v>981</v>
          </cell>
        </row>
        <row r="18">
          <cell r="A18">
            <v>1416000</v>
          </cell>
          <cell r="C18">
            <v>74998</v>
          </cell>
          <cell r="D18">
            <v>37183</v>
          </cell>
          <cell r="E18">
            <v>37815</v>
          </cell>
          <cell r="F18">
            <v>3878</v>
          </cell>
          <cell r="G18">
            <v>1993</v>
          </cell>
          <cell r="H18">
            <v>1885</v>
          </cell>
          <cell r="I18">
            <v>3793</v>
          </cell>
          <cell r="J18">
            <v>1973</v>
          </cell>
          <cell r="K18">
            <v>1820</v>
          </cell>
          <cell r="L18">
            <v>4193</v>
          </cell>
          <cell r="M18">
            <v>2130</v>
          </cell>
          <cell r="N18">
            <v>2063</v>
          </cell>
          <cell r="O18">
            <v>5100</v>
          </cell>
          <cell r="P18">
            <v>2545</v>
          </cell>
          <cell r="Q18">
            <v>2555</v>
          </cell>
          <cell r="R18">
            <v>5678</v>
          </cell>
          <cell r="S18">
            <v>2891</v>
          </cell>
          <cell r="T18">
            <v>2787</v>
          </cell>
          <cell r="U18">
            <v>5893</v>
          </cell>
          <cell r="V18">
            <v>3116</v>
          </cell>
          <cell r="W18">
            <v>2777</v>
          </cell>
          <cell r="X18">
            <v>5572</v>
          </cell>
          <cell r="Y18">
            <v>2955</v>
          </cell>
          <cell r="Z18">
            <v>2617</v>
          </cell>
          <cell r="AA18">
            <v>5125</v>
          </cell>
          <cell r="AB18">
            <v>2695</v>
          </cell>
          <cell r="AC18">
            <v>2430</v>
          </cell>
          <cell r="AD18">
            <v>4686</v>
          </cell>
          <cell r="AE18">
            <v>2467</v>
          </cell>
          <cell r="AF18">
            <v>2219</v>
          </cell>
          <cell r="AG18">
            <v>4824</v>
          </cell>
          <cell r="AH18">
            <v>2440</v>
          </cell>
          <cell r="AI18">
            <v>2384</v>
          </cell>
          <cell r="AJ18">
            <v>5183</v>
          </cell>
          <cell r="AK18">
            <v>2661</v>
          </cell>
          <cell r="AL18">
            <v>2522</v>
          </cell>
          <cell r="AM18">
            <v>5395</v>
          </cell>
          <cell r="AN18">
            <v>2771</v>
          </cell>
          <cell r="AO18">
            <v>2624</v>
          </cell>
          <cell r="AP18">
            <v>4441</v>
          </cell>
          <cell r="AQ18">
            <v>2141</v>
          </cell>
          <cell r="AR18">
            <v>2300</v>
          </cell>
          <cell r="AS18">
            <v>2853</v>
          </cell>
          <cell r="AT18">
            <v>1295</v>
          </cell>
          <cell r="AU18">
            <v>1558</v>
          </cell>
          <cell r="AV18">
            <v>8384</v>
          </cell>
          <cell r="AW18">
            <v>3110</v>
          </cell>
          <cell r="AX18">
            <v>5274</v>
          </cell>
          <cell r="AY18">
            <v>2509</v>
          </cell>
          <cell r="AZ18">
            <v>1085</v>
          </cell>
          <cell r="BA18">
            <v>1424</v>
          </cell>
          <cell r="BB18">
            <v>2387</v>
          </cell>
          <cell r="BC18">
            <v>937</v>
          </cell>
          <cell r="BD18">
            <v>1450</v>
          </cell>
          <cell r="BE18">
            <v>1992</v>
          </cell>
          <cell r="BF18">
            <v>671</v>
          </cell>
          <cell r="BG18">
            <v>1321</v>
          </cell>
          <cell r="BH18">
            <v>1496</v>
          </cell>
          <cell r="BI18">
            <v>417</v>
          </cell>
          <cell r="BJ18">
            <v>1079</v>
          </cell>
        </row>
        <row r="19">
          <cell r="A19">
            <v>1417000</v>
          </cell>
          <cell r="C19">
            <v>121977</v>
          </cell>
          <cell r="D19">
            <v>58334</v>
          </cell>
          <cell r="E19">
            <v>63643</v>
          </cell>
          <cell r="F19">
            <v>7181</v>
          </cell>
          <cell r="G19">
            <v>3591</v>
          </cell>
          <cell r="H19">
            <v>3590</v>
          </cell>
          <cell r="I19">
            <v>6578</v>
          </cell>
          <cell r="J19">
            <v>3399</v>
          </cell>
          <cell r="K19">
            <v>3179</v>
          </cell>
          <cell r="L19">
            <v>5982</v>
          </cell>
          <cell r="M19">
            <v>3036</v>
          </cell>
          <cell r="N19">
            <v>2946</v>
          </cell>
          <cell r="O19">
            <v>6772</v>
          </cell>
          <cell r="P19">
            <v>3558</v>
          </cell>
          <cell r="Q19">
            <v>3214</v>
          </cell>
          <cell r="R19">
            <v>7854</v>
          </cell>
          <cell r="S19">
            <v>4024</v>
          </cell>
          <cell r="T19">
            <v>3830</v>
          </cell>
          <cell r="U19">
            <v>9165</v>
          </cell>
          <cell r="V19">
            <v>4568</v>
          </cell>
          <cell r="W19">
            <v>4597</v>
          </cell>
          <cell r="X19">
            <v>9924</v>
          </cell>
          <cell r="Y19">
            <v>4909</v>
          </cell>
          <cell r="Z19">
            <v>5015</v>
          </cell>
          <cell r="AA19">
            <v>9766</v>
          </cell>
          <cell r="AB19">
            <v>4833</v>
          </cell>
          <cell r="AC19">
            <v>4933</v>
          </cell>
          <cell r="AD19">
            <v>8201</v>
          </cell>
          <cell r="AE19">
            <v>4036</v>
          </cell>
          <cell r="AF19">
            <v>4165</v>
          </cell>
          <cell r="AG19">
            <v>7555</v>
          </cell>
          <cell r="AH19">
            <v>3773</v>
          </cell>
          <cell r="AI19">
            <v>3782</v>
          </cell>
          <cell r="AJ19">
            <v>8366</v>
          </cell>
          <cell r="AK19">
            <v>4043</v>
          </cell>
          <cell r="AL19">
            <v>4323</v>
          </cell>
          <cell r="AM19">
            <v>8948</v>
          </cell>
          <cell r="AN19">
            <v>4322</v>
          </cell>
          <cell r="AO19">
            <v>4626</v>
          </cell>
          <cell r="AP19">
            <v>7587</v>
          </cell>
          <cell r="AQ19">
            <v>3447</v>
          </cell>
          <cell r="AR19">
            <v>4140</v>
          </cell>
          <cell r="AS19">
            <v>5392</v>
          </cell>
          <cell r="AT19">
            <v>2308</v>
          </cell>
          <cell r="AU19">
            <v>3084</v>
          </cell>
          <cell r="AV19">
            <v>12706</v>
          </cell>
          <cell r="AW19">
            <v>4487</v>
          </cell>
          <cell r="AX19">
            <v>8219</v>
          </cell>
          <cell r="AY19">
            <v>4104</v>
          </cell>
          <cell r="AZ19">
            <v>1603</v>
          </cell>
          <cell r="BA19">
            <v>2501</v>
          </cell>
          <cell r="BB19">
            <v>3706</v>
          </cell>
          <cell r="BC19">
            <v>1388</v>
          </cell>
          <cell r="BD19">
            <v>2318</v>
          </cell>
          <cell r="BE19">
            <v>2804</v>
          </cell>
          <cell r="BF19">
            <v>931</v>
          </cell>
          <cell r="BG19">
            <v>1873</v>
          </cell>
          <cell r="BH19">
            <v>2092</v>
          </cell>
          <cell r="BI19">
            <v>565</v>
          </cell>
          <cell r="BJ19">
            <v>1527</v>
          </cell>
        </row>
        <row r="20">
          <cell r="A20">
            <v>1418000</v>
          </cell>
          <cell r="C20">
            <v>168935</v>
          </cell>
          <cell r="D20">
            <v>80732</v>
          </cell>
          <cell r="E20">
            <v>88203</v>
          </cell>
          <cell r="F20">
            <v>11333</v>
          </cell>
          <cell r="G20">
            <v>5762</v>
          </cell>
          <cell r="H20">
            <v>5571</v>
          </cell>
          <cell r="I20">
            <v>10908</v>
          </cell>
          <cell r="J20">
            <v>5553</v>
          </cell>
          <cell r="K20">
            <v>5355</v>
          </cell>
          <cell r="L20">
            <v>8984</v>
          </cell>
          <cell r="M20">
            <v>4615</v>
          </cell>
          <cell r="N20">
            <v>4369</v>
          </cell>
          <cell r="O20">
            <v>9051</v>
          </cell>
          <cell r="P20">
            <v>4536</v>
          </cell>
          <cell r="Q20">
            <v>4515</v>
          </cell>
          <cell r="R20">
            <v>9505</v>
          </cell>
          <cell r="S20">
            <v>4865</v>
          </cell>
          <cell r="T20">
            <v>4640</v>
          </cell>
          <cell r="U20">
            <v>12029</v>
          </cell>
          <cell r="V20">
            <v>5861</v>
          </cell>
          <cell r="W20">
            <v>6168</v>
          </cell>
          <cell r="X20">
            <v>15557</v>
          </cell>
          <cell r="Y20">
            <v>7330</v>
          </cell>
          <cell r="Z20">
            <v>8227</v>
          </cell>
          <cell r="AA20">
            <v>16427</v>
          </cell>
          <cell r="AB20">
            <v>7836</v>
          </cell>
          <cell r="AC20">
            <v>8591</v>
          </cell>
          <cell r="AD20">
            <v>12892</v>
          </cell>
          <cell r="AE20">
            <v>6376</v>
          </cell>
          <cell r="AF20">
            <v>6516</v>
          </cell>
          <cell r="AG20">
            <v>10032</v>
          </cell>
          <cell r="AH20">
            <v>4980</v>
          </cell>
          <cell r="AI20">
            <v>5052</v>
          </cell>
          <cell r="AJ20">
            <v>10302</v>
          </cell>
          <cell r="AK20">
            <v>5048</v>
          </cell>
          <cell r="AL20">
            <v>5254</v>
          </cell>
          <cell r="AM20">
            <v>11621</v>
          </cell>
          <cell r="AN20">
            <v>5470</v>
          </cell>
          <cell r="AO20">
            <v>6151</v>
          </cell>
          <cell r="AP20">
            <v>9968</v>
          </cell>
          <cell r="AQ20">
            <v>4509</v>
          </cell>
          <cell r="AR20">
            <v>5459</v>
          </cell>
          <cell r="AS20">
            <v>6773</v>
          </cell>
          <cell r="AT20">
            <v>2995</v>
          </cell>
          <cell r="AU20">
            <v>3778</v>
          </cell>
          <cell r="AV20">
            <v>13553</v>
          </cell>
          <cell r="AW20">
            <v>4996</v>
          </cell>
          <cell r="AX20">
            <v>8557</v>
          </cell>
          <cell r="AY20">
            <v>4601</v>
          </cell>
          <cell r="AZ20">
            <v>1930</v>
          </cell>
          <cell r="BA20">
            <v>2671</v>
          </cell>
          <cell r="BB20">
            <v>3879</v>
          </cell>
          <cell r="BC20">
            <v>1507</v>
          </cell>
          <cell r="BD20">
            <v>2372</v>
          </cell>
          <cell r="BE20">
            <v>2882</v>
          </cell>
          <cell r="BF20">
            <v>992</v>
          </cell>
          <cell r="BG20">
            <v>1890</v>
          </cell>
          <cell r="BH20">
            <v>2191</v>
          </cell>
          <cell r="BI20">
            <v>567</v>
          </cell>
          <cell r="BJ20">
            <v>1624</v>
          </cell>
        </row>
        <row r="21">
          <cell r="A21">
            <v>1419000</v>
          </cell>
          <cell r="C21">
            <v>110890</v>
          </cell>
          <cell r="D21">
            <v>55136</v>
          </cell>
          <cell r="E21">
            <v>55754</v>
          </cell>
          <cell r="F21">
            <v>5869</v>
          </cell>
          <cell r="G21">
            <v>2984</v>
          </cell>
          <cell r="H21">
            <v>2885</v>
          </cell>
          <cell r="I21">
            <v>5801</v>
          </cell>
          <cell r="J21">
            <v>3023</v>
          </cell>
          <cell r="K21">
            <v>2778</v>
          </cell>
          <cell r="L21">
            <v>6296</v>
          </cell>
          <cell r="M21">
            <v>3257</v>
          </cell>
          <cell r="N21">
            <v>3039</v>
          </cell>
          <cell r="O21">
            <v>7812</v>
          </cell>
          <cell r="P21">
            <v>3997</v>
          </cell>
          <cell r="Q21">
            <v>3815</v>
          </cell>
          <cell r="R21">
            <v>8539</v>
          </cell>
          <cell r="S21">
            <v>4418</v>
          </cell>
          <cell r="T21">
            <v>4121</v>
          </cell>
          <cell r="U21">
            <v>8460</v>
          </cell>
          <cell r="V21">
            <v>4444</v>
          </cell>
          <cell r="W21">
            <v>4016</v>
          </cell>
          <cell r="X21">
            <v>8261</v>
          </cell>
          <cell r="Y21">
            <v>4259</v>
          </cell>
          <cell r="Z21">
            <v>4002</v>
          </cell>
          <cell r="AA21">
            <v>8468</v>
          </cell>
          <cell r="AB21">
            <v>4455</v>
          </cell>
          <cell r="AC21">
            <v>4013</v>
          </cell>
          <cell r="AD21">
            <v>7953</v>
          </cell>
          <cell r="AE21">
            <v>4057</v>
          </cell>
          <cell r="AF21">
            <v>3896</v>
          </cell>
          <cell r="AG21">
            <v>7245</v>
          </cell>
          <cell r="AH21">
            <v>3743</v>
          </cell>
          <cell r="AI21">
            <v>3502</v>
          </cell>
          <cell r="AJ21">
            <v>7369</v>
          </cell>
          <cell r="AK21">
            <v>3836</v>
          </cell>
          <cell r="AL21">
            <v>3533</v>
          </cell>
          <cell r="AM21">
            <v>7435</v>
          </cell>
          <cell r="AN21">
            <v>3789</v>
          </cell>
          <cell r="AO21">
            <v>3646</v>
          </cell>
          <cell r="AP21">
            <v>6544</v>
          </cell>
          <cell r="AQ21">
            <v>3131</v>
          </cell>
          <cell r="AR21">
            <v>3413</v>
          </cell>
          <cell r="AS21">
            <v>4157</v>
          </cell>
          <cell r="AT21">
            <v>1893</v>
          </cell>
          <cell r="AU21">
            <v>2264</v>
          </cell>
          <cell r="AV21">
            <v>10681</v>
          </cell>
          <cell r="AW21">
            <v>3850</v>
          </cell>
          <cell r="AX21">
            <v>6831</v>
          </cell>
          <cell r="AY21">
            <v>3528</v>
          </cell>
          <cell r="AZ21">
            <v>1512</v>
          </cell>
          <cell r="BA21">
            <v>2016</v>
          </cell>
          <cell r="BB21">
            <v>2880</v>
          </cell>
          <cell r="BC21">
            <v>1087</v>
          </cell>
          <cell r="BD21">
            <v>1793</v>
          </cell>
          <cell r="BE21">
            <v>2516</v>
          </cell>
          <cell r="BF21">
            <v>788</v>
          </cell>
          <cell r="BG21">
            <v>1728</v>
          </cell>
          <cell r="BH21">
            <v>1757</v>
          </cell>
          <cell r="BI21">
            <v>463</v>
          </cell>
          <cell r="BJ21">
            <v>1294</v>
          </cell>
        </row>
        <row r="22">
          <cell r="A22">
            <v>1420000</v>
          </cell>
          <cell r="C22">
            <v>89025</v>
          </cell>
          <cell r="D22">
            <v>43873</v>
          </cell>
          <cell r="E22">
            <v>45152</v>
          </cell>
          <cell r="F22">
            <v>4651</v>
          </cell>
          <cell r="G22">
            <v>2303</v>
          </cell>
          <cell r="H22">
            <v>2348</v>
          </cell>
          <cell r="I22">
            <v>4505</v>
          </cell>
          <cell r="J22">
            <v>2396</v>
          </cell>
          <cell r="K22">
            <v>2109</v>
          </cell>
          <cell r="L22">
            <v>4938</v>
          </cell>
          <cell r="M22">
            <v>2556</v>
          </cell>
          <cell r="N22">
            <v>2382</v>
          </cell>
          <cell r="O22">
            <v>5782</v>
          </cell>
          <cell r="P22">
            <v>2928</v>
          </cell>
          <cell r="Q22">
            <v>2854</v>
          </cell>
          <cell r="R22">
            <v>6482</v>
          </cell>
          <cell r="S22">
            <v>3312</v>
          </cell>
          <cell r="T22">
            <v>3170</v>
          </cell>
          <cell r="U22">
            <v>6957</v>
          </cell>
          <cell r="V22">
            <v>3621</v>
          </cell>
          <cell r="W22">
            <v>3336</v>
          </cell>
          <cell r="X22">
            <v>6939</v>
          </cell>
          <cell r="Y22">
            <v>3721</v>
          </cell>
          <cell r="Z22">
            <v>3218</v>
          </cell>
          <cell r="AA22">
            <v>6478</v>
          </cell>
          <cell r="AB22">
            <v>3357</v>
          </cell>
          <cell r="AC22">
            <v>3121</v>
          </cell>
          <cell r="AD22">
            <v>5639</v>
          </cell>
          <cell r="AE22">
            <v>2886</v>
          </cell>
          <cell r="AF22">
            <v>2753</v>
          </cell>
          <cell r="AG22">
            <v>5526</v>
          </cell>
          <cell r="AH22">
            <v>2869</v>
          </cell>
          <cell r="AI22">
            <v>2657</v>
          </cell>
          <cell r="AJ22">
            <v>6400</v>
          </cell>
          <cell r="AK22">
            <v>3222</v>
          </cell>
          <cell r="AL22">
            <v>3178</v>
          </cell>
          <cell r="AM22">
            <v>6735</v>
          </cell>
          <cell r="AN22">
            <v>3324</v>
          </cell>
          <cell r="AO22">
            <v>3411</v>
          </cell>
          <cell r="AP22">
            <v>5560</v>
          </cell>
          <cell r="AQ22">
            <v>2610</v>
          </cell>
          <cell r="AR22">
            <v>2950</v>
          </cell>
          <cell r="AS22">
            <v>3534</v>
          </cell>
          <cell r="AT22">
            <v>1591</v>
          </cell>
          <cell r="AU22">
            <v>1943</v>
          </cell>
          <cell r="AV22">
            <v>8899</v>
          </cell>
          <cell r="AW22">
            <v>3177</v>
          </cell>
          <cell r="AX22">
            <v>5722</v>
          </cell>
          <cell r="AY22">
            <v>2832</v>
          </cell>
          <cell r="AZ22">
            <v>1176</v>
          </cell>
          <cell r="BA22">
            <v>1656</v>
          </cell>
          <cell r="BB22">
            <v>2619</v>
          </cell>
          <cell r="BC22">
            <v>970</v>
          </cell>
          <cell r="BD22">
            <v>1649</v>
          </cell>
          <cell r="BE22">
            <v>1988</v>
          </cell>
          <cell r="BF22">
            <v>657</v>
          </cell>
          <cell r="BG22">
            <v>1331</v>
          </cell>
          <cell r="BH22">
            <v>1460</v>
          </cell>
          <cell r="BI22">
            <v>374</v>
          </cell>
          <cell r="BJ22">
            <v>1086</v>
          </cell>
        </row>
        <row r="23">
          <cell r="A23">
            <v>1421000</v>
          </cell>
          <cell r="C23">
            <v>156807</v>
          </cell>
          <cell r="D23">
            <v>74485</v>
          </cell>
          <cell r="E23">
            <v>82322</v>
          </cell>
          <cell r="F23">
            <v>9417</v>
          </cell>
          <cell r="G23">
            <v>4929</v>
          </cell>
          <cell r="H23">
            <v>4488</v>
          </cell>
          <cell r="I23">
            <v>8343</v>
          </cell>
          <cell r="J23">
            <v>4291</v>
          </cell>
          <cell r="K23">
            <v>4052</v>
          </cell>
          <cell r="L23">
            <v>7321</v>
          </cell>
          <cell r="M23">
            <v>3745</v>
          </cell>
          <cell r="N23">
            <v>3576</v>
          </cell>
          <cell r="O23">
            <v>7841</v>
          </cell>
          <cell r="P23">
            <v>4017</v>
          </cell>
          <cell r="Q23">
            <v>3824</v>
          </cell>
          <cell r="R23">
            <v>8823</v>
          </cell>
          <cell r="S23">
            <v>4538</v>
          </cell>
          <cell r="T23">
            <v>4285</v>
          </cell>
          <cell r="U23">
            <v>11766</v>
          </cell>
          <cell r="V23">
            <v>5811</v>
          </cell>
          <cell r="W23">
            <v>5955</v>
          </cell>
          <cell r="X23">
            <v>13925</v>
          </cell>
          <cell r="Y23">
            <v>6714</v>
          </cell>
          <cell r="Z23">
            <v>7211</v>
          </cell>
          <cell r="AA23">
            <v>13311</v>
          </cell>
          <cell r="AB23">
            <v>6432</v>
          </cell>
          <cell r="AC23">
            <v>6879</v>
          </cell>
          <cell r="AD23">
            <v>10991</v>
          </cell>
          <cell r="AE23">
            <v>5387</v>
          </cell>
          <cell r="AF23">
            <v>5604</v>
          </cell>
          <cell r="AG23">
            <v>9370</v>
          </cell>
          <cell r="AH23">
            <v>4591</v>
          </cell>
          <cell r="AI23">
            <v>4779</v>
          </cell>
          <cell r="AJ23">
            <v>10254</v>
          </cell>
          <cell r="AK23">
            <v>4837</v>
          </cell>
          <cell r="AL23">
            <v>5417</v>
          </cell>
          <cell r="AM23">
            <v>11978</v>
          </cell>
          <cell r="AN23">
            <v>5566</v>
          </cell>
          <cell r="AO23">
            <v>6412</v>
          </cell>
          <cell r="AP23">
            <v>10457</v>
          </cell>
          <cell r="AQ23">
            <v>4632</v>
          </cell>
          <cell r="AR23">
            <v>5825</v>
          </cell>
          <cell r="AS23">
            <v>7246</v>
          </cell>
          <cell r="AT23">
            <v>3075</v>
          </cell>
          <cell r="AU23">
            <v>4171</v>
          </cell>
          <cell r="AV23">
            <v>15764</v>
          </cell>
          <cell r="AW23">
            <v>5920</v>
          </cell>
          <cell r="AX23">
            <v>9844</v>
          </cell>
          <cell r="AY23">
            <v>5510</v>
          </cell>
          <cell r="AZ23">
            <v>2278</v>
          </cell>
          <cell r="BA23">
            <v>3232</v>
          </cell>
          <cell r="BB23">
            <v>4502</v>
          </cell>
          <cell r="BC23">
            <v>1809</v>
          </cell>
          <cell r="BD23">
            <v>2693</v>
          </cell>
          <cell r="BE23">
            <v>3275</v>
          </cell>
          <cell r="BF23">
            <v>1154</v>
          </cell>
          <cell r="BG23">
            <v>2121</v>
          </cell>
          <cell r="BH23">
            <v>2477</v>
          </cell>
          <cell r="BI23">
            <v>679</v>
          </cell>
          <cell r="BJ23">
            <v>1798</v>
          </cell>
        </row>
        <row r="24">
          <cell r="A24">
            <v>1422000</v>
          </cell>
          <cell r="C24">
            <v>53791</v>
          </cell>
          <cell r="D24">
            <v>26783</v>
          </cell>
          <cell r="E24">
            <v>27008</v>
          </cell>
          <cell r="F24">
            <v>3083</v>
          </cell>
          <cell r="G24">
            <v>1558</v>
          </cell>
          <cell r="H24">
            <v>1525</v>
          </cell>
          <cell r="I24">
            <v>2975</v>
          </cell>
          <cell r="J24">
            <v>1473</v>
          </cell>
          <cell r="K24">
            <v>1502</v>
          </cell>
          <cell r="L24">
            <v>3161</v>
          </cell>
          <cell r="M24">
            <v>1620</v>
          </cell>
          <cell r="N24">
            <v>1541</v>
          </cell>
          <cell r="O24">
            <v>3654</v>
          </cell>
          <cell r="P24">
            <v>1842</v>
          </cell>
          <cell r="Q24">
            <v>1812</v>
          </cell>
          <cell r="R24">
            <v>4217</v>
          </cell>
          <cell r="S24">
            <v>2214</v>
          </cell>
          <cell r="T24">
            <v>2003</v>
          </cell>
          <cell r="U24">
            <v>4299</v>
          </cell>
          <cell r="V24">
            <v>2264</v>
          </cell>
          <cell r="W24">
            <v>2035</v>
          </cell>
          <cell r="X24">
            <v>3990</v>
          </cell>
          <cell r="Y24">
            <v>2133</v>
          </cell>
          <cell r="Z24">
            <v>1857</v>
          </cell>
          <cell r="AA24">
            <v>3697</v>
          </cell>
          <cell r="AB24">
            <v>1945</v>
          </cell>
          <cell r="AC24">
            <v>1752</v>
          </cell>
          <cell r="AD24">
            <v>3307</v>
          </cell>
          <cell r="AE24">
            <v>1789</v>
          </cell>
          <cell r="AF24">
            <v>1518</v>
          </cell>
          <cell r="AG24">
            <v>3483</v>
          </cell>
          <cell r="AH24">
            <v>1830</v>
          </cell>
          <cell r="AI24">
            <v>1653</v>
          </cell>
          <cell r="AJ24">
            <v>3816</v>
          </cell>
          <cell r="AK24">
            <v>1965</v>
          </cell>
          <cell r="AL24">
            <v>1851</v>
          </cell>
          <cell r="AM24">
            <v>3820</v>
          </cell>
          <cell r="AN24">
            <v>1955</v>
          </cell>
          <cell r="AO24">
            <v>1865</v>
          </cell>
          <cell r="AP24">
            <v>3075</v>
          </cell>
          <cell r="AQ24">
            <v>1524</v>
          </cell>
          <cell r="AR24">
            <v>1551</v>
          </cell>
          <cell r="AS24">
            <v>1774</v>
          </cell>
          <cell r="AT24">
            <v>788</v>
          </cell>
          <cell r="AU24">
            <v>986</v>
          </cell>
          <cell r="AV24">
            <v>5440</v>
          </cell>
          <cell r="AW24">
            <v>1883</v>
          </cell>
          <cell r="AX24">
            <v>3557</v>
          </cell>
          <cell r="AY24">
            <v>1748</v>
          </cell>
          <cell r="AZ24">
            <v>681</v>
          </cell>
          <cell r="BA24">
            <v>1067</v>
          </cell>
          <cell r="BB24">
            <v>1609</v>
          </cell>
          <cell r="BC24">
            <v>572</v>
          </cell>
          <cell r="BD24">
            <v>1037</v>
          </cell>
          <cell r="BE24">
            <v>1267</v>
          </cell>
          <cell r="BF24">
            <v>412</v>
          </cell>
          <cell r="BG24">
            <v>855</v>
          </cell>
          <cell r="BH24">
            <v>816</v>
          </cell>
          <cell r="BI24">
            <v>218</v>
          </cell>
          <cell r="BJ24">
            <v>598</v>
          </cell>
        </row>
        <row r="25">
          <cell r="A25">
            <v>1423000</v>
          </cell>
          <cell r="C25">
            <v>43271</v>
          </cell>
          <cell r="D25">
            <v>21482</v>
          </cell>
          <cell r="E25">
            <v>21789</v>
          </cell>
          <cell r="F25">
            <v>2089</v>
          </cell>
          <cell r="G25">
            <v>1066</v>
          </cell>
          <cell r="H25">
            <v>1023</v>
          </cell>
          <cell r="I25">
            <v>1975</v>
          </cell>
          <cell r="J25">
            <v>993</v>
          </cell>
          <cell r="K25">
            <v>982</v>
          </cell>
          <cell r="L25">
            <v>2372</v>
          </cell>
          <cell r="M25">
            <v>1175</v>
          </cell>
          <cell r="N25">
            <v>1197</v>
          </cell>
          <cell r="O25">
            <v>3138</v>
          </cell>
          <cell r="P25">
            <v>1609</v>
          </cell>
          <cell r="Q25">
            <v>1529</v>
          </cell>
          <cell r="R25">
            <v>3339</v>
          </cell>
          <cell r="S25">
            <v>1757</v>
          </cell>
          <cell r="T25">
            <v>1582</v>
          </cell>
          <cell r="U25">
            <v>3360</v>
          </cell>
          <cell r="V25">
            <v>1749</v>
          </cell>
          <cell r="W25">
            <v>1611</v>
          </cell>
          <cell r="X25">
            <v>3098</v>
          </cell>
          <cell r="Y25">
            <v>1685</v>
          </cell>
          <cell r="Z25">
            <v>1413</v>
          </cell>
          <cell r="AA25">
            <v>2843</v>
          </cell>
          <cell r="AB25">
            <v>1560</v>
          </cell>
          <cell r="AC25">
            <v>1283</v>
          </cell>
          <cell r="AD25">
            <v>2646</v>
          </cell>
          <cell r="AE25">
            <v>1380</v>
          </cell>
          <cell r="AF25">
            <v>1266</v>
          </cell>
          <cell r="AG25">
            <v>2833</v>
          </cell>
          <cell r="AH25">
            <v>1487</v>
          </cell>
          <cell r="AI25">
            <v>1346</v>
          </cell>
          <cell r="AJ25">
            <v>3141</v>
          </cell>
          <cell r="AK25">
            <v>1661</v>
          </cell>
          <cell r="AL25">
            <v>1480</v>
          </cell>
          <cell r="AM25">
            <v>2928</v>
          </cell>
          <cell r="AN25">
            <v>1576</v>
          </cell>
          <cell r="AO25">
            <v>1352</v>
          </cell>
          <cell r="AP25">
            <v>2513</v>
          </cell>
          <cell r="AQ25">
            <v>1220</v>
          </cell>
          <cell r="AR25">
            <v>1293</v>
          </cell>
          <cell r="AS25">
            <v>1797</v>
          </cell>
          <cell r="AT25">
            <v>781</v>
          </cell>
          <cell r="AU25">
            <v>1016</v>
          </cell>
          <cell r="AV25">
            <v>5199</v>
          </cell>
          <cell r="AW25">
            <v>1783</v>
          </cell>
          <cell r="AX25">
            <v>3416</v>
          </cell>
          <cell r="AY25">
            <v>1494</v>
          </cell>
          <cell r="AZ25">
            <v>583</v>
          </cell>
          <cell r="BA25">
            <v>911</v>
          </cell>
          <cell r="BB25">
            <v>1634</v>
          </cell>
          <cell r="BC25">
            <v>586</v>
          </cell>
          <cell r="BD25">
            <v>1048</v>
          </cell>
          <cell r="BE25">
            <v>1258</v>
          </cell>
          <cell r="BF25">
            <v>405</v>
          </cell>
          <cell r="BG25">
            <v>853</v>
          </cell>
          <cell r="BH25">
            <v>813</v>
          </cell>
          <cell r="BI25">
            <v>209</v>
          </cell>
          <cell r="BJ25">
            <v>604</v>
          </cell>
        </row>
        <row r="26">
          <cell r="A26">
            <v>1424000</v>
          </cell>
          <cell r="C26">
            <v>51391</v>
          </cell>
          <cell r="D26">
            <v>25436</v>
          </cell>
          <cell r="E26">
            <v>25955</v>
          </cell>
          <cell r="F26">
            <v>2853</v>
          </cell>
          <cell r="G26">
            <v>1479</v>
          </cell>
          <cell r="H26">
            <v>1374</v>
          </cell>
          <cell r="I26">
            <v>2698</v>
          </cell>
          <cell r="J26">
            <v>1388</v>
          </cell>
          <cell r="K26">
            <v>1310</v>
          </cell>
          <cell r="L26">
            <v>2877</v>
          </cell>
          <cell r="M26">
            <v>1480</v>
          </cell>
          <cell r="N26">
            <v>1397</v>
          </cell>
          <cell r="O26">
            <v>3455</v>
          </cell>
          <cell r="P26">
            <v>1710</v>
          </cell>
          <cell r="Q26">
            <v>1745</v>
          </cell>
          <cell r="R26">
            <v>3950</v>
          </cell>
          <cell r="S26">
            <v>2025</v>
          </cell>
          <cell r="T26">
            <v>1925</v>
          </cell>
          <cell r="U26">
            <v>4054</v>
          </cell>
          <cell r="V26">
            <v>2090</v>
          </cell>
          <cell r="W26">
            <v>1964</v>
          </cell>
          <cell r="X26">
            <v>4032</v>
          </cell>
          <cell r="Y26">
            <v>2097</v>
          </cell>
          <cell r="Z26">
            <v>1935</v>
          </cell>
          <cell r="AA26">
            <v>3762</v>
          </cell>
          <cell r="AB26">
            <v>1965</v>
          </cell>
          <cell r="AC26">
            <v>1797</v>
          </cell>
          <cell r="AD26">
            <v>3260</v>
          </cell>
          <cell r="AE26">
            <v>1732</v>
          </cell>
          <cell r="AF26">
            <v>1528</v>
          </cell>
          <cell r="AG26">
            <v>3101</v>
          </cell>
          <cell r="AH26">
            <v>1571</v>
          </cell>
          <cell r="AI26">
            <v>1530</v>
          </cell>
          <cell r="AJ26">
            <v>3644</v>
          </cell>
          <cell r="AK26">
            <v>1872</v>
          </cell>
          <cell r="AL26">
            <v>1772</v>
          </cell>
          <cell r="AM26">
            <v>3674</v>
          </cell>
          <cell r="AN26">
            <v>1844</v>
          </cell>
          <cell r="AO26">
            <v>1830</v>
          </cell>
          <cell r="AP26">
            <v>3116</v>
          </cell>
          <cell r="AQ26">
            <v>1474</v>
          </cell>
          <cell r="AR26">
            <v>1642</v>
          </cell>
          <cell r="AS26">
            <v>1823</v>
          </cell>
          <cell r="AT26">
            <v>846</v>
          </cell>
          <cell r="AU26">
            <v>977</v>
          </cell>
          <cell r="AV26">
            <v>5092</v>
          </cell>
          <cell r="AW26">
            <v>1863</v>
          </cell>
          <cell r="AX26">
            <v>3229</v>
          </cell>
          <cell r="AY26">
            <v>1699</v>
          </cell>
          <cell r="AZ26">
            <v>703</v>
          </cell>
          <cell r="BA26">
            <v>996</v>
          </cell>
          <cell r="BB26">
            <v>1430</v>
          </cell>
          <cell r="BC26">
            <v>548</v>
          </cell>
          <cell r="BD26">
            <v>882</v>
          </cell>
          <cell r="BE26">
            <v>1167</v>
          </cell>
          <cell r="BF26">
            <v>381</v>
          </cell>
          <cell r="BG26">
            <v>786</v>
          </cell>
          <cell r="BH26">
            <v>796</v>
          </cell>
          <cell r="BI26">
            <v>231</v>
          </cell>
          <cell r="BJ26">
            <v>565</v>
          </cell>
        </row>
        <row r="27">
          <cell r="A27">
            <v>1425000</v>
          </cell>
          <cell r="C27">
            <v>150668</v>
          </cell>
          <cell r="D27">
            <v>75045</v>
          </cell>
          <cell r="E27">
            <v>75623</v>
          </cell>
          <cell r="F27">
            <v>8697</v>
          </cell>
          <cell r="G27">
            <v>4469</v>
          </cell>
          <cell r="H27">
            <v>4228</v>
          </cell>
          <cell r="I27">
            <v>8429</v>
          </cell>
          <cell r="J27">
            <v>4347</v>
          </cell>
          <cell r="K27">
            <v>4082</v>
          </cell>
          <cell r="L27">
            <v>9091</v>
          </cell>
          <cell r="M27">
            <v>4677</v>
          </cell>
          <cell r="N27">
            <v>4414</v>
          </cell>
          <cell r="O27">
            <v>10598</v>
          </cell>
          <cell r="P27">
            <v>5443</v>
          </cell>
          <cell r="Q27">
            <v>5155</v>
          </cell>
          <cell r="R27">
            <v>11964</v>
          </cell>
          <cell r="S27">
            <v>6160</v>
          </cell>
          <cell r="T27">
            <v>5804</v>
          </cell>
          <cell r="U27">
            <v>12568</v>
          </cell>
          <cell r="V27">
            <v>6553</v>
          </cell>
          <cell r="W27">
            <v>6015</v>
          </cell>
          <cell r="X27">
            <v>12265</v>
          </cell>
          <cell r="Y27">
            <v>6472</v>
          </cell>
          <cell r="Z27">
            <v>5793</v>
          </cell>
          <cell r="AA27">
            <v>11289</v>
          </cell>
          <cell r="AB27">
            <v>5860</v>
          </cell>
          <cell r="AC27">
            <v>5429</v>
          </cell>
          <cell r="AD27">
            <v>9555</v>
          </cell>
          <cell r="AE27">
            <v>4945</v>
          </cell>
          <cell r="AF27">
            <v>4610</v>
          </cell>
          <cell r="AG27">
            <v>9132</v>
          </cell>
          <cell r="AH27">
            <v>4667</v>
          </cell>
          <cell r="AI27">
            <v>4465</v>
          </cell>
          <cell r="AJ27">
            <v>10141</v>
          </cell>
          <cell r="AK27">
            <v>5189</v>
          </cell>
          <cell r="AL27">
            <v>4952</v>
          </cell>
          <cell r="AM27">
            <v>10556</v>
          </cell>
          <cell r="AN27">
            <v>5277</v>
          </cell>
          <cell r="AO27">
            <v>5279</v>
          </cell>
          <cell r="AP27">
            <v>8268</v>
          </cell>
          <cell r="AQ27">
            <v>4053</v>
          </cell>
          <cell r="AR27">
            <v>4215</v>
          </cell>
          <cell r="AS27">
            <v>5305</v>
          </cell>
          <cell r="AT27">
            <v>2405</v>
          </cell>
          <cell r="AU27">
            <v>2900</v>
          </cell>
          <cell r="AV27">
            <v>12810</v>
          </cell>
          <cell r="AW27">
            <v>4528</v>
          </cell>
          <cell r="AX27">
            <v>8282</v>
          </cell>
          <cell r="AY27">
            <v>3922</v>
          </cell>
          <cell r="AZ27">
            <v>1598</v>
          </cell>
          <cell r="BA27">
            <v>2324</v>
          </cell>
          <cell r="BB27">
            <v>3694</v>
          </cell>
          <cell r="BC27">
            <v>1397</v>
          </cell>
          <cell r="BD27">
            <v>2297</v>
          </cell>
          <cell r="BE27">
            <v>3024</v>
          </cell>
          <cell r="BF27">
            <v>980</v>
          </cell>
          <cell r="BG27">
            <v>2044</v>
          </cell>
          <cell r="BH27">
            <v>2170</v>
          </cell>
          <cell r="BI27">
            <v>553</v>
          </cell>
          <cell r="BJ27">
            <v>1617</v>
          </cell>
        </row>
        <row r="28">
          <cell r="A28">
            <v>1426000</v>
          </cell>
          <cell r="C28">
            <v>81924</v>
          </cell>
          <cell r="D28">
            <v>41186</v>
          </cell>
          <cell r="E28">
            <v>40738</v>
          </cell>
          <cell r="F28">
            <v>4689</v>
          </cell>
          <cell r="G28">
            <v>2369</v>
          </cell>
          <cell r="H28">
            <v>2320</v>
          </cell>
          <cell r="I28">
            <v>4391</v>
          </cell>
          <cell r="J28">
            <v>2267</v>
          </cell>
          <cell r="K28">
            <v>2124</v>
          </cell>
          <cell r="L28">
            <v>4830</v>
          </cell>
          <cell r="M28">
            <v>2477</v>
          </cell>
          <cell r="N28">
            <v>2353</v>
          </cell>
          <cell r="O28">
            <v>5983</v>
          </cell>
          <cell r="P28">
            <v>3076</v>
          </cell>
          <cell r="Q28">
            <v>2907</v>
          </cell>
          <cell r="R28">
            <v>6674</v>
          </cell>
          <cell r="S28">
            <v>3469</v>
          </cell>
          <cell r="T28">
            <v>3205</v>
          </cell>
          <cell r="U28">
            <v>6541</v>
          </cell>
          <cell r="V28">
            <v>3446</v>
          </cell>
          <cell r="W28">
            <v>3095</v>
          </cell>
          <cell r="X28">
            <v>6093</v>
          </cell>
          <cell r="Y28">
            <v>3225</v>
          </cell>
          <cell r="Z28">
            <v>2868</v>
          </cell>
          <cell r="AA28">
            <v>5603</v>
          </cell>
          <cell r="AB28">
            <v>2949</v>
          </cell>
          <cell r="AC28">
            <v>2654</v>
          </cell>
          <cell r="AD28">
            <v>5177</v>
          </cell>
          <cell r="AE28">
            <v>2740</v>
          </cell>
          <cell r="AF28">
            <v>2437</v>
          </cell>
          <cell r="AG28">
            <v>5204</v>
          </cell>
          <cell r="AH28">
            <v>2757</v>
          </cell>
          <cell r="AI28">
            <v>2447</v>
          </cell>
          <cell r="AJ28">
            <v>5208</v>
          </cell>
          <cell r="AK28">
            <v>2781</v>
          </cell>
          <cell r="AL28">
            <v>2427</v>
          </cell>
          <cell r="AM28">
            <v>5205</v>
          </cell>
          <cell r="AN28">
            <v>2764</v>
          </cell>
          <cell r="AO28">
            <v>2441</v>
          </cell>
          <cell r="AP28">
            <v>4389</v>
          </cell>
          <cell r="AQ28">
            <v>2160</v>
          </cell>
          <cell r="AR28">
            <v>2229</v>
          </cell>
          <cell r="AS28">
            <v>3017</v>
          </cell>
          <cell r="AT28">
            <v>1324</v>
          </cell>
          <cell r="AU28">
            <v>1693</v>
          </cell>
          <cell r="AV28">
            <v>8920</v>
          </cell>
          <cell r="AW28">
            <v>3382</v>
          </cell>
          <cell r="AX28">
            <v>5538</v>
          </cell>
          <cell r="AY28">
            <v>2620</v>
          </cell>
          <cell r="AZ28">
            <v>1133</v>
          </cell>
          <cell r="BA28">
            <v>1487</v>
          </cell>
          <cell r="BB28">
            <v>2505</v>
          </cell>
          <cell r="BC28">
            <v>1000</v>
          </cell>
          <cell r="BD28">
            <v>1505</v>
          </cell>
          <cell r="BE28">
            <v>2137</v>
          </cell>
          <cell r="BF28">
            <v>765</v>
          </cell>
          <cell r="BG28">
            <v>1372</v>
          </cell>
          <cell r="BH28">
            <v>1658</v>
          </cell>
          <cell r="BI28">
            <v>484</v>
          </cell>
          <cell r="BJ28">
            <v>1174</v>
          </cell>
        </row>
        <row r="29">
          <cell r="A29">
            <v>1427000</v>
          </cell>
          <cell r="C29">
            <v>53540</v>
          </cell>
          <cell r="D29">
            <v>26311</v>
          </cell>
          <cell r="E29">
            <v>27229</v>
          </cell>
          <cell r="F29">
            <v>2808</v>
          </cell>
          <cell r="G29">
            <v>1403</v>
          </cell>
          <cell r="H29">
            <v>1405</v>
          </cell>
          <cell r="I29">
            <v>2661</v>
          </cell>
          <cell r="J29">
            <v>1374</v>
          </cell>
          <cell r="K29">
            <v>1287</v>
          </cell>
          <cell r="L29">
            <v>3133</v>
          </cell>
          <cell r="M29">
            <v>1612</v>
          </cell>
          <cell r="N29">
            <v>1521</v>
          </cell>
          <cell r="O29">
            <v>3759</v>
          </cell>
          <cell r="P29">
            <v>1956</v>
          </cell>
          <cell r="Q29">
            <v>1803</v>
          </cell>
          <cell r="R29">
            <v>4219</v>
          </cell>
          <cell r="S29">
            <v>2136</v>
          </cell>
          <cell r="T29">
            <v>2083</v>
          </cell>
          <cell r="U29">
            <v>4115</v>
          </cell>
          <cell r="V29">
            <v>2164</v>
          </cell>
          <cell r="W29">
            <v>1951</v>
          </cell>
          <cell r="X29">
            <v>3962</v>
          </cell>
          <cell r="Y29">
            <v>2045</v>
          </cell>
          <cell r="Z29">
            <v>1917</v>
          </cell>
          <cell r="AA29">
            <v>3635</v>
          </cell>
          <cell r="AB29">
            <v>1937</v>
          </cell>
          <cell r="AC29">
            <v>1698</v>
          </cell>
          <cell r="AD29">
            <v>3549</v>
          </cell>
          <cell r="AE29">
            <v>1808</v>
          </cell>
          <cell r="AF29">
            <v>1741</v>
          </cell>
          <cell r="AG29">
            <v>3529</v>
          </cell>
          <cell r="AH29">
            <v>1796</v>
          </cell>
          <cell r="AI29">
            <v>1733</v>
          </cell>
          <cell r="AJ29">
            <v>3887</v>
          </cell>
          <cell r="AK29">
            <v>2013</v>
          </cell>
          <cell r="AL29">
            <v>1874</v>
          </cell>
          <cell r="AM29">
            <v>3732</v>
          </cell>
          <cell r="AN29">
            <v>1884</v>
          </cell>
          <cell r="AO29">
            <v>1848</v>
          </cell>
          <cell r="AP29">
            <v>3186</v>
          </cell>
          <cell r="AQ29">
            <v>1502</v>
          </cell>
          <cell r="AR29">
            <v>1684</v>
          </cell>
          <cell r="AS29">
            <v>1939</v>
          </cell>
          <cell r="AT29">
            <v>826</v>
          </cell>
          <cell r="AU29">
            <v>1113</v>
          </cell>
          <cell r="AV29">
            <v>5426</v>
          </cell>
          <cell r="AW29">
            <v>1855</v>
          </cell>
          <cell r="AX29">
            <v>3571</v>
          </cell>
          <cell r="AY29">
            <v>1795</v>
          </cell>
          <cell r="AZ29">
            <v>703</v>
          </cell>
          <cell r="BA29">
            <v>1092</v>
          </cell>
          <cell r="BB29">
            <v>1537</v>
          </cell>
          <cell r="BC29">
            <v>543</v>
          </cell>
          <cell r="BD29">
            <v>994</v>
          </cell>
          <cell r="BE29">
            <v>1262</v>
          </cell>
          <cell r="BF29">
            <v>400</v>
          </cell>
          <cell r="BG29">
            <v>862</v>
          </cell>
          <cell r="BH29">
            <v>832</v>
          </cell>
          <cell r="BI29">
            <v>209</v>
          </cell>
          <cell r="BJ29">
            <v>623</v>
          </cell>
        </row>
        <row r="30">
          <cell r="A30">
            <v>1428000</v>
          </cell>
          <cell r="C30">
            <v>85162</v>
          </cell>
          <cell r="D30">
            <v>41402</v>
          </cell>
          <cell r="E30">
            <v>43760</v>
          </cell>
          <cell r="F30">
            <v>4699</v>
          </cell>
          <cell r="G30">
            <v>2385</v>
          </cell>
          <cell r="H30">
            <v>2314</v>
          </cell>
          <cell r="I30">
            <v>4288</v>
          </cell>
          <cell r="J30">
            <v>2205</v>
          </cell>
          <cell r="K30">
            <v>2083</v>
          </cell>
          <cell r="L30">
            <v>4361</v>
          </cell>
          <cell r="M30">
            <v>2214</v>
          </cell>
          <cell r="N30">
            <v>2147</v>
          </cell>
          <cell r="O30">
            <v>5145</v>
          </cell>
          <cell r="P30">
            <v>2579</v>
          </cell>
          <cell r="Q30">
            <v>2566</v>
          </cell>
          <cell r="R30">
            <v>6125</v>
          </cell>
          <cell r="S30">
            <v>3101</v>
          </cell>
          <cell r="T30">
            <v>3024</v>
          </cell>
          <cell r="U30">
            <v>6812</v>
          </cell>
          <cell r="V30">
            <v>3506</v>
          </cell>
          <cell r="W30">
            <v>3306</v>
          </cell>
          <cell r="X30">
            <v>6935</v>
          </cell>
          <cell r="Y30">
            <v>3537</v>
          </cell>
          <cell r="Z30">
            <v>3398</v>
          </cell>
          <cell r="AA30">
            <v>6402</v>
          </cell>
          <cell r="AB30">
            <v>3322</v>
          </cell>
          <cell r="AC30">
            <v>3080</v>
          </cell>
          <cell r="AD30">
            <v>5376</v>
          </cell>
          <cell r="AE30">
            <v>2745</v>
          </cell>
          <cell r="AF30">
            <v>2631</v>
          </cell>
          <cell r="AG30">
            <v>5282</v>
          </cell>
          <cell r="AH30">
            <v>2651</v>
          </cell>
          <cell r="AI30">
            <v>2631</v>
          </cell>
          <cell r="AJ30">
            <v>6214</v>
          </cell>
          <cell r="AK30">
            <v>3061</v>
          </cell>
          <cell r="AL30">
            <v>3153</v>
          </cell>
          <cell r="AM30">
            <v>6568</v>
          </cell>
          <cell r="AN30">
            <v>3155</v>
          </cell>
          <cell r="AO30">
            <v>3413</v>
          </cell>
          <cell r="AP30">
            <v>5216</v>
          </cell>
          <cell r="AQ30">
            <v>2403</v>
          </cell>
          <cell r="AR30">
            <v>2813</v>
          </cell>
          <cell r="AS30">
            <v>3449</v>
          </cell>
          <cell r="AT30">
            <v>1543</v>
          </cell>
          <cell r="AU30">
            <v>1906</v>
          </cell>
          <cell r="AV30">
            <v>8290</v>
          </cell>
          <cell r="AW30">
            <v>2995</v>
          </cell>
          <cell r="AX30">
            <v>5295</v>
          </cell>
          <cell r="AY30">
            <v>2666</v>
          </cell>
          <cell r="AZ30">
            <v>1076</v>
          </cell>
          <cell r="BA30">
            <v>1590</v>
          </cell>
          <cell r="BB30">
            <v>2384</v>
          </cell>
          <cell r="BC30">
            <v>894</v>
          </cell>
          <cell r="BD30">
            <v>1490</v>
          </cell>
          <cell r="BE30">
            <v>1919</v>
          </cell>
          <cell r="BF30">
            <v>651</v>
          </cell>
          <cell r="BG30">
            <v>1268</v>
          </cell>
          <cell r="BH30">
            <v>1321</v>
          </cell>
          <cell r="BI30">
            <v>374</v>
          </cell>
          <cell r="BJ30">
            <v>947</v>
          </cell>
        </row>
        <row r="31">
          <cell r="A31">
            <v>1429000</v>
          </cell>
          <cell r="C31">
            <v>56264</v>
          </cell>
          <cell r="D31">
            <v>27882</v>
          </cell>
          <cell r="E31">
            <v>28382</v>
          </cell>
          <cell r="F31">
            <v>2823</v>
          </cell>
          <cell r="G31">
            <v>1415</v>
          </cell>
          <cell r="H31">
            <v>1408</v>
          </cell>
          <cell r="I31">
            <v>2551</v>
          </cell>
          <cell r="J31">
            <v>1334</v>
          </cell>
          <cell r="K31">
            <v>1217</v>
          </cell>
          <cell r="L31">
            <v>2906</v>
          </cell>
          <cell r="M31">
            <v>1442</v>
          </cell>
          <cell r="N31">
            <v>1464</v>
          </cell>
          <cell r="O31">
            <v>3647</v>
          </cell>
          <cell r="P31">
            <v>1926</v>
          </cell>
          <cell r="Q31">
            <v>1721</v>
          </cell>
          <cell r="R31">
            <v>4262</v>
          </cell>
          <cell r="S31">
            <v>2148</v>
          </cell>
          <cell r="T31">
            <v>2114</v>
          </cell>
          <cell r="U31">
            <v>4306</v>
          </cell>
          <cell r="V31">
            <v>2316</v>
          </cell>
          <cell r="W31">
            <v>1990</v>
          </cell>
          <cell r="X31">
            <v>3970</v>
          </cell>
          <cell r="Y31">
            <v>2164</v>
          </cell>
          <cell r="Z31">
            <v>1806</v>
          </cell>
          <cell r="AA31">
            <v>3687</v>
          </cell>
          <cell r="AB31">
            <v>1992</v>
          </cell>
          <cell r="AC31">
            <v>1695</v>
          </cell>
          <cell r="AD31">
            <v>3418</v>
          </cell>
          <cell r="AE31">
            <v>1748</v>
          </cell>
          <cell r="AF31">
            <v>1670</v>
          </cell>
          <cell r="AG31">
            <v>3482</v>
          </cell>
          <cell r="AH31">
            <v>1737</v>
          </cell>
          <cell r="AI31">
            <v>1745</v>
          </cell>
          <cell r="AJ31">
            <v>4033</v>
          </cell>
          <cell r="AK31">
            <v>2103</v>
          </cell>
          <cell r="AL31">
            <v>1930</v>
          </cell>
          <cell r="AM31">
            <v>4302</v>
          </cell>
          <cell r="AN31">
            <v>2172</v>
          </cell>
          <cell r="AO31">
            <v>2130</v>
          </cell>
          <cell r="AP31">
            <v>3519</v>
          </cell>
          <cell r="AQ31">
            <v>1687</v>
          </cell>
          <cell r="AR31">
            <v>1832</v>
          </cell>
          <cell r="AS31">
            <v>2427</v>
          </cell>
          <cell r="AT31">
            <v>1120</v>
          </cell>
          <cell r="AU31">
            <v>1307</v>
          </cell>
          <cell r="AV31">
            <v>6931</v>
          </cell>
          <cell r="AW31">
            <v>2578</v>
          </cell>
          <cell r="AX31">
            <v>4353</v>
          </cell>
          <cell r="AY31">
            <v>1898</v>
          </cell>
          <cell r="AZ31">
            <v>804</v>
          </cell>
          <cell r="BA31">
            <v>1094</v>
          </cell>
          <cell r="BB31">
            <v>2009</v>
          </cell>
          <cell r="BC31">
            <v>768</v>
          </cell>
          <cell r="BD31">
            <v>1241</v>
          </cell>
          <cell r="BE31">
            <v>1729</v>
          </cell>
          <cell r="BF31">
            <v>633</v>
          </cell>
          <cell r="BG31">
            <v>1096</v>
          </cell>
          <cell r="BH31">
            <v>1295</v>
          </cell>
          <cell r="BI31">
            <v>373</v>
          </cell>
          <cell r="BJ31">
            <v>922</v>
          </cell>
        </row>
        <row r="32">
          <cell r="A32">
            <v>1430000</v>
          </cell>
          <cell r="C32">
            <v>40638</v>
          </cell>
          <cell r="D32">
            <v>20240</v>
          </cell>
          <cell r="E32">
            <v>20398</v>
          </cell>
          <cell r="F32">
            <v>2204</v>
          </cell>
          <cell r="G32">
            <v>1148</v>
          </cell>
          <cell r="H32">
            <v>1056</v>
          </cell>
          <cell r="I32">
            <v>2034</v>
          </cell>
          <cell r="J32">
            <v>1061</v>
          </cell>
          <cell r="K32">
            <v>973</v>
          </cell>
          <cell r="L32">
            <v>2347</v>
          </cell>
          <cell r="M32">
            <v>1217</v>
          </cell>
          <cell r="N32">
            <v>1130</v>
          </cell>
          <cell r="O32">
            <v>2685</v>
          </cell>
          <cell r="P32">
            <v>1387</v>
          </cell>
          <cell r="Q32">
            <v>1298</v>
          </cell>
          <cell r="R32">
            <v>3042</v>
          </cell>
          <cell r="S32">
            <v>1585</v>
          </cell>
          <cell r="T32">
            <v>1457</v>
          </cell>
          <cell r="U32">
            <v>3418</v>
          </cell>
          <cell r="V32">
            <v>1810</v>
          </cell>
          <cell r="W32">
            <v>1608</v>
          </cell>
          <cell r="X32">
            <v>3208</v>
          </cell>
          <cell r="Y32">
            <v>1727</v>
          </cell>
          <cell r="Z32">
            <v>1481</v>
          </cell>
          <cell r="AA32">
            <v>3086</v>
          </cell>
          <cell r="AB32">
            <v>1602</v>
          </cell>
          <cell r="AC32">
            <v>1484</v>
          </cell>
          <cell r="AD32">
            <v>2477</v>
          </cell>
          <cell r="AE32">
            <v>1288</v>
          </cell>
          <cell r="AF32">
            <v>1189</v>
          </cell>
          <cell r="AG32">
            <v>2369</v>
          </cell>
          <cell r="AH32">
            <v>1215</v>
          </cell>
          <cell r="AI32">
            <v>1154</v>
          </cell>
          <cell r="AJ32">
            <v>2854</v>
          </cell>
          <cell r="AK32">
            <v>1522</v>
          </cell>
          <cell r="AL32">
            <v>1332</v>
          </cell>
          <cell r="AM32">
            <v>2971</v>
          </cell>
          <cell r="AN32">
            <v>1505</v>
          </cell>
          <cell r="AO32">
            <v>1466</v>
          </cell>
          <cell r="AP32">
            <v>2374</v>
          </cell>
          <cell r="AQ32">
            <v>1122</v>
          </cell>
          <cell r="AR32">
            <v>1252</v>
          </cell>
          <cell r="AS32">
            <v>1521</v>
          </cell>
          <cell r="AT32">
            <v>710</v>
          </cell>
          <cell r="AU32">
            <v>811</v>
          </cell>
          <cell r="AV32">
            <v>4048</v>
          </cell>
          <cell r="AW32">
            <v>1341</v>
          </cell>
          <cell r="AX32">
            <v>2707</v>
          </cell>
          <cell r="AY32">
            <v>1165</v>
          </cell>
          <cell r="AZ32">
            <v>437</v>
          </cell>
          <cell r="BA32">
            <v>728</v>
          </cell>
          <cell r="BB32">
            <v>1251</v>
          </cell>
          <cell r="BC32">
            <v>435</v>
          </cell>
          <cell r="BD32">
            <v>816</v>
          </cell>
          <cell r="BE32">
            <v>946</v>
          </cell>
          <cell r="BF32">
            <v>296</v>
          </cell>
          <cell r="BG32">
            <v>650</v>
          </cell>
          <cell r="BH32">
            <v>686</v>
          </cell>
          <cell r="BI32">
            <v>173</v>
          </cell>
          <cell r="BJ32">
            <v>513</v>
          </cell>
        </row>
        <row r="33">
          <cell r="A33">
            <v>1432000</v>
          </cell>
          <cell r="C33">
            <v>109624</v>
          </cell>
          <cell r="D33">
            <v>52830</v>
          </cell>
          <cell r="E33">
            <v>56794</v>
          </cell>
          <cell r="F33">
            <v>6351</v>
          </cell>
          <cell r="G33">
            <v>3202</v>
          </cell>
          <cell r="H33">
            <v>3149</v>
          </cell>
          <cell r="I33">
            <v>6429</v>
          </cell>
          <cell r="J33">
            <v>3315</v>
          </cell>
          <cell r="K33">
            <v>3114</v>
          </cell>
          <cell r="L33">
            <v>5750</v>
          </cell>
          <cell r="M33">
            <v>2997</v>
          </cell>
          <cell r="N33">
            <v>2753</v>
          </cell>
          <cell r="O33">
            <v>6049</v>
          </cell>
          <cell r="P33">
            <v>3091</v>
          </cell>
          <cell r="Q33">
            <v>2958</v>
          </cell>
          <cell r="R33">
            <v>6874</v>
          </cell>
          <cell r="S33">
            <v>3510</v>
          </cell>
          <cell r="T33">
            <v>3364</v>
          </cell>
          <cell r="U33">
            <v>7756</v>
          </cell>
          <cell r="V33">
            <v>3865</v>
          </cell>
          <cell r="W33">
            <v>3891</v>
          </cell>
          <cell r="X33">
            <v>8588</v>
          </cell>
          <cell r="Y33">
            <v>4233</v>
          </cell>
          <cell r="Z33">
            <v>4355</v>
          </cell>
          <cell r="AA33">
            <v>9365</v>
          </cell>
          <cell r="AB33">
            <v>4599</v>
          </cell>
          <cell r="AC33">
            <v>4766</v>
          </cell>
          <cell r="AD33">
            <v>7828</v>
          </cell>
          <cell r="AE33">
            <v>3822</v>
          </cell>
          <cell r="AF33">
            <v>4006</v>
          </cell>
          <cell r="AG33">
            <v>6794</v>
          </cell>
          <cell r="AH33">
            <v>3384</v>
          </cell>
          <cell r="AI33">
            <v>3410</v>
          </cell>
          <cell r="AJ33">
            <v>7664</v>
          </cell>
          <cell r="AK33">
            <v>3663</v>
          </cell>
          <cell r="AL33">
            <v>4001</v>
          </cell>
          <cell r="AM33">
            <v>8527</v>
          </cell>
          <cell r="AN33">
            <v>4095</v>
          </cell>
          <cell r="AO33">
            <v>4432</v>
          </cell>
          <cell r="AP33">
            <v>7174</v>
          </cell>
          <cell r="AQ33">
            <v>3393</v>
          </cell>
          <cell r="AR33">
            <v>3781</v>
          </cell>
          <cell r="AS33">
            <v>4510</v>
          </cell>
          <cell r="AT33">
            <v>1991</v>
          </cell>
          <cell r="AU33">
            <v>2519</v>
          </cell>
          <cell r="AV33">
            <v>9965</v>
          </cell>
          <cell r="AW33">
            <v>3670</v>
          </cell>
          <cell r="AX33">
            <v>6295</v>
          </cell>
          <cell r="AY33">
            <v>3242</v>
          </cell>
          <cell r="AZ33">
            <v>1344</v>
          </cell>
          <cell r="BA33">
            <v>1898</v>
          </cell>
          <cell r="BB33">
            <v>2927</v>
          </cell>
          <cell r="BC33">
            <v>1164</v>
          </cell>
          <cell r="BD33">
            <v>1763</v>
          </cell>
          <cell r="BE33">
            <v>2157</v>
          </cell>
          <cell r="BF33">
            <v>731</v>
          </cell>
          <cell r="BG33">
            <v>1426</v>
          </cell>
          <cell r="BH33">
            <v>1639</v>
          </cell>
          <cell r="BI33">
            <v>431</v>
          </cell>
          <cell r="BJ33">
            <v>1208</v>
          </cell>
        </row>
        <row r="34">
          <cell r="A34">
            <v>1433000</v>
          </cell>
          <cell r="C34">
            <v>67830</v>
          </cell>
          <cell r="D34">
            <v>33880</v>
          </cell>
          <cell r="E34">
            <v>33950</v>
          </cell>
          <cell r="F34">
            <v>3680</v>
          </cell>
          <cell r="G34">
            <v>1901</v>
          </cell>
          <cell r="H34">
            <v>1779</v>
          </cell>
          <cell r="I34">
            <v>3292</v>
          </cell>
          <cell r="J34">
            <v>1665</v>
          </cell>
          <cell r="K34">
            <v>1627</v>
          </cell>
          <cell r="L34">
            <v>3634</v>
          </cell>
          <cell r="M34">
            <v>1777</v>
          </cell>
          <cell r="N34">
            <v>1857</v>
          </cell>
          <cell r="O34">
            <v>4601</v>
          </cell>
          <cell r="P34">
            <v>2373</v>
          </cell>
          <cell r="Q34">
            <v>2228</v>
          </cell>
          <cell r="R34">
            <v>5229</v>
          </cell>
          <cell r="S34">
            <v>2678</v>
          </cell>
          <cell r="T34">
            <v>2551</v>
          </cell>
          <cell r="U34">
            <v>5406</v>
          </cell>
          <cell r="V34">
            <v>2837</v>
          </cell>
          <cell r="W34">
            <v>2569</v>
          </cell>
          <cell r="X34">
            <v>5188</v>
          </cell>
          <cell r="Y34">
            <v>2817</v>
          </cell>
          <cell r="Z34">
            <v>2371</v>
          </cell>
          <cell r="AA34">
            <v>4774</v>
          </cell>
          <cell r="AB34">
            <v>2616</v>
          </cell>
          <cell r="AC34">
            <v>2158</v>
          </cell>
          <cell r="AD34">
            <v>4118</v>
          </cell>
          <cell r="AE34">
            <v>2162</v>
          </cell>
          <cell r="AF34">
            <v>1956</v>
          </cell>
          <cell r="AG34">
            <v>4147</v>
          </cell>
          <cell r="AH34">
            <v>2191</v>
          </cell>
          <cell r="AI34">
            <v>1956</v>
          </cell>
          <cell r="AJ34">
            <v>4480</v>
          </cell>
          <cell r="AK34">
            <v>2282</v>
          </cell>
          <cell r="AL34">
            <v>2198</v>
          </cell>
          <cell r="AM34">
            <v>4956</v>
          </cell>
          <cell r="AN34">
            <v>2573</v>
          </cell>
          <cell r="AO34">
            <v>2383</v>
          </cell>
          <cell r="AP34">
            <v>4240</v>
          </cell>
          <cell r="AQ34">
            <v>2074</v>
          </cell>
          <cell r="AR34">
            <v>2166</v>
          </cell>
          <cell r="AS34">
            <v>2665</v>
          </cell>
          <cell r="AT34">
            <v>1218</v>
          </cell>
          <cell r="AU34">
            <v>1447</v>
          </cell>
          <cell r="AV34">
            <v>7420</v>
          </cell>
          <cell r="AW34">
            <v>2716</v>
          </cell>
          <cell r="AX34">
            <v>4704</v>
          </cell>
          <cell r="AY34">
            <v>2200</v>
          </cell>
          <cell r="AZ34">
            <v>904</v>
          </cell>
          <cell r="BA34">
            <v>1296</v>
          </cell>
          <cell r="BB34">
            <v>2040</v>
          </cell>
          <cell r="BC34">
            <v>808</v>
          </cell>
          <cell r="BD34">
            <v>1232</v>
          </cell>
          <cell r="BE34">
            <v>1839</v>
          </cell>
          <cell r="BF34">
            <v>628</v>
          </cell>
          <cell r="BG34">
            <v>1211</v>
          </cell>
          <cell r="BH34">
            <v>1341</v>
          </cell>
          <cell r="BI34">
            <v>376</v>
          </cell>
          <cell r="BJ34">
            <v>965</v>
          </cell>
        </row>
        <row r="35">
          <cell r="A35">
            <v>1434000</v>
          </cell>
          <cell r="C35">
            <v>225655</v>
          </cell>
          <cell r="D35">
            <v>108899</v>
          </cell>
          <cell r="E35">
            <v>116756</v>
          </cell>
          <cell r="F35">
            <v>15144</v>
          </cell>
          <cell r="G35">
            <v>7842</v>
          </cell>
          <cell r="H35">
            <v>7302</v>
          </cell>
          <cell r="I35">
            <v>13901</v>
          </cell>
          <cell r="J35">
            <v>7174</v>
          </cell>
          <cell r="K35">
            <v>6727</v>
          </cell>
          <cell r="L35">
            <v>12326</v>
          </cell>
          <cell r="M35">
            <v>6343</v>
          </cell>
          <cell r="N35">
            <v>5983</v>
          </cell>
          <cell r="O35">
            <v>13076</v>
          </cell>
          <cell r="P35">
            <v>6623</v>
          </cell>
          <cell r="Q35">
            <v>6453</v>
          </cell>
          <cell r="R35">
            <v>14842</v>
          </cell>
          <cell r="S35">
            <v>7519</v>
          </cell>
          <cell r="T35">
            <v>7323</v>
          </cell>
          <cell r="U35">
            <v>18033</v>
          </cell>
          <cell r="V35">
            <v>8836</v>
          </cell>
          <cell r="W35">
            <v>9197</v>
          </cell>
          <cell r="X35">
            <v>20934</v>
          </cell>
          <cell r="Y35">
            <v>10068</v>
          </cell>
          <cell r="Z35">
            <v>10866</v>
          </cell>
          <cell r="AA35">
            <v>20172</v>
          </cell>
          <cell r="AB35">
            <v>9945</v>
          </cell>
          <cell r="AC35">
            <v>10227</v>
          </cell>
          <cell r="AD35">
            <v>15662</v>
          </cell>
          <cell r="AE35">
            <v>7820</v>
          </cell>
          <cell r="AF35">
            <v>7842</v>
          </cell>
          <cell r="AG35">
            <v>13327</v>
          </cell>
          <cell r="AH35">
            <v>6698</v>
          </cell>
          <cell r="AI35">
            <v>6629</v>
          </cell>
          <cell r="AJ35">
            <v>14378</v>
          </cell>
          <cell r="AK35">
            <v>7078</v>
          </cell>
          <cell r="AL35">
            <v>7300</v>
          </cell>
          <cell r="AM35">
            <v>15226</v>
          </cell>
          <cell r="AN35">
            <v>7258</v>
          </cell>
          <cell r="AO35">
            <v>7968</v>
          </cell>
          <cell r="AP35">
            <v>12335</v>
          </cell>
          <cell r="AQ35">
            <v>5724</v>
          </cell>
          <cell r="AR35">
            <v>6611</v>
          </cell>
          <cell r="AS35">
            <v>7937</v>
          </cell>
          <cell r="AT35">
            <v>3370</v>
          </cell>
          <cell r="AU35">
            <v>4567</v>
          </cell>
          <cell r="AV35">
            <v>18362</v>
          </cell>
          <cell r="AW35">
            <v>6601</v>
          </cell>
          <cell r="AX35">
            <v>11761</v>
          </cell>
          <cell r="AY35">
            <v>6355</v>
          </cell>
          <cell r="AZ35">
            <v>2560</v>
          </cell>
          <cell r="BA35">
            <v>3795</v>
          </cell>
          <cell r="BB35">
            <v>5360</v>
          </cell>
          <cell r="BC35">
            <v>2074</v>
          </cell>
          <cell r="BD35">
            <v>3286</v>
          </cell>
          <cell r="BE35">
            <v>3923</v>
          </cell>
          <cell r="BF35">
            <v>1290</v>
          </cell>
          <cell r="BG35">
            <v>2633</v>
          </cell>
          <cell r="BH35">
            <v>2724</v>
          </cell>
          <cell r="BI35">
            <v>677</v>
          </cell>
          <cell r="BJ35">
            <v>2047</v>
          </cell>
        </row>
        <row r="36">
          <cell r="A36">
            <v>1435000</v>
          </cell>
          <cell r="C36">
            <v>73817</v>
          </cell>
          <cell r="D36">
            <v>36549</v>
          </cell>
          <cell r="E36">
            <v>37268</v>
          </cell>
          <cell r="F36">
            <v>4468</v>
          </cell>
          <cell r="G36">
            <v>2315</v>
          </cell>
          <cell r="H36">
            <v>2153</v>
          </cell>
          <cell r="I36">
            <v>3994</v>
          </cell>
          <cell r="J36">
            <v>2086</v>
          </cell>
          <cell r="K36">
            <v>1908</v>
          </cell>
          <cell r="L36">
            <v>4214</v>
          </cell>
          <cell r="M36">
            <v>2095</v>
          </cell>
          <cell r="N36">
            <v>2119</v>
          </cell>
          <cell r="O36">
            <v>4973</v>
          </cell>
          <cell r="P36">
            <v>2517</v>
          </cell>
          <cell r="Q36">
            <v>2456</v>
          </cell>
          <cell r="R36">
            <v>5883</v>
          </cell>
          <cell r="S36">
            <v>2988</v>
          </cell>
          <cell r="T36">
            <v>2895</v>
          </cell>
          <cell r="U36">
            <v>6164</v>
          </cell>
          <cell r="V36">
            <v>3234</v>
          </cell>
          <cell r="W36">
            <v>2930</v>
          </cell>
          <cell r="X36">
            <v>5829</v>
          </cell>
          <cell r="Y36">
            <v>3044</v>
          </cell>
          <cell r="Z36">
            <v>2785</v>
          </cell>
          <cell r="AA36">
            <v>5361</v>
          </cell>
          <cell r="AB36">
            <v>2827</v>
          </cell>
          <cell r="AC36">
            <v>2534</v>
          </cell>
          <cell r="AD36">
            <v>4810</v>
          </cell>
          <cell r="AE36">
            <v>2479</v>
          </cell>
          <cell r="AF36">
            <v>2331</v>
          </cell>
          <cell r="AG36">
            <v>4726</v>
          </cell>
          <cell r="AH36">
            <v>2418</v>
          </cell>
          <cell r="AI36">
            <v>2308</v>
          </cell>
          <cell r="AJ36">
            <v>5027</v>
          </cell>
          <cell r="AK36">
            <v>2555</v>
          </cell>
          <cell r="AL36">
            <v>2472</v>
          </cell>
          <cell r="AM36">
            <v>5025</v>
          </cell>
          <cell r="AN36">
            <v>2541</v>
          </cell>
          <cell r="AO36">
            <v>2484</v>
          </cell>
          <cell r="AP36">
            <v>4010</v>
          </cell>
          <cell r="AQ36">
            <v>1864</v>
          </cell>
          <cell r="AR36">
            <v>2146</v>
          </cell>
          <cell r="AS36">
            <v>2575</v>
          </cell>
          <cell r="AT36">
            <v>1128</v>
          </cell>
          <cell r="AU36">
            <v>1447</v>
          </cell>
          <cell r="AV36">
            <v>6758</v>
          </cell>
          <cell r="AW36">
            <v>2458</v>
          </cell>
          <cell r="AX36">
            <v>4300</v>
          </cell>
          <cell r="AY36">
            <v>2308</v>
          </cell>
          <cell r="AZ36">
            <v>982</v>
          </cell>
          <cell r="BA36">
            <v>1326</v>
          </cell>
          <cell r="BB36">
            <v>1872</v>
          </cell>
          <cell r="BC36">
            <v>706</v>
          </cell>
          <cell r="BD36">
            <v>1166</v>
          </cell>
          <cell r="BE36">
            <v>1518</v>
          </cell>
          <cell r="BF36">
            <v>488</v>
          </cell>
          <cell r="BG36">
            <v>1030</v>
          </cell>
          <cell r="BH36">
            <v>1060</v>
          </cell>
          <cell r="BI36">
            <v>282</v>
          </cell>
          <cell r="BJ36">
            <v>778</v>
          </cell>
        </row>
        <row r="37">
          <cell r="A37">
            <v>1436000</v>
          </cell>
          <cell r="C37">
            <v>37069</v>
          </cell>
          <cell r="D37">
            <v>18479</v>
          </cell>
          <cell r="E37">
            <v>18590</v>
          </cell>
          <cell r="F37">
            <v>2023</v>
          </cell>
          <cell r="G37">
            <v>1086</v>
          </cell>
          <cell r="H37">
            <v>937</v>
          </cell>
          <cell r="I37">
            <v>1839</v>
          </cell>
          <cell r="J37">
            <v>942</v>
          </cell>
          <cell r="K37">
            <v>897</v>
          </cell>
          <cell r="L37">
            <v>2056</v>
          </cell>
          <cell r="M37">
            <v>1066</v>
          </cell>
          <cell r="N37">
            <v>990</v>
          </cell>
          <cell r="O37">
            <v>2586</v>
          </cell>
          <cell r="P37">
            <v>1341</v>
          </cell>
          <cell r="Q37">
            <v>1245</v>
          </cell>
          <cell r="R37">
            <v>2914</v>
          </cell>
          <cell r="S37">
            <v>1515</v>
          </cell>
          <cell r="T37">
            <v>1399</v>
          </cell>
          <cell r="U37">
            <v>2857</v>
          </cell>
          <cell r="V37">
            <v>1477</v>
          </cell>
          <cell r="W37">
            <v>1380</v>
          </cell>
          <cell r="X37">
            <v>2874</v>
          </cell>
          <cell r="Y37">
            <v>1533</v>
          </cell>
          <cell r="Z37">
            <v>1341</v>
          </cell>
          <cell r="AA37">
            <v>2600</v>
          </cell>
          <cell r="AB37">
            <v>1379</v>
          </cell>
          <cell r="AC37">
            <v>1221</v>
          </cell>
          <cell r="AD37">
            <v>2333</v>
          </cell>
          <cell r="AE37">
            <v>1197</v>
          </cell>
          <cell r="AF37">
            <v>1136</v>
          </cell>
          <cell r="AG37">
            <v>2252</v>
          </cell>
          <cell r="AH37">
            <v>1187</v>
          </cell>
          <cell r="AI37">
            <v>1065</v>
          </cell>
          <cell r="AJ37">
            <v>2539</v>
          </cell>
          <cell r="AK37">
            <v>1340</v>
          </cell>
          <cell r="AL37">
            <v>1199</v>
          </cell>
          <cell r="AM37">
            <v>2660</v>
          </cell>
          <cell r="AN37">
            <v>1377</v>
          </cell>
          <cell r="AO37">
            <v>1283</v>
          </cell>
          <cell r="AP37">
            <v>2116</v>
          </cell>
          <cell r="AQ37">
            <v>1025</v>
          </cell>
          <cell r="AR37">
            <v>1091</v>
          </cell>
          <cell r="AS37">
            <v>1444</v>
          </cell>
          <cell r="AT37">
            <v>621</v>
          </cell>
          <cell r="AU37">
            <v>823</v>
          </cell>
          <cell r="AV37">
            <v>3976</v>
          </cell>
          <cell r="AW37">
            <v>1393</v>
          </cell>
          <cell r="AX37">
            <v>2583</v>
          </cell>
          <cell r="AY37">
            <v>1179</v>
          </cell>
          <cell r="AZ37">
            <v>477</v>
          </cell>
          <cell r="BA37">
            <v>702</v>
          </cell>
          <cell r="BB37">
            <v>1126</v>
          </cell>
          <cell r="BC37">
            <v>429</v>
          </cell>
          <cell r="BD37">
            <v>697</v>
          </cell>
          <cell r="BE37">
            <v>987</v>
          </cell>
          <cell r="BF37">
            <v>314</v>
          </cell>
          <cell r="BG37">
            <v>673</v>
          </cell>
          <cell r="BH37">
            <v>684</v>
          </cell>
          <cell r="BI37">
            <v>173</v>
          </cell>
          <cell r="BJ37">
            <v>511</v>
          </cell>
        </row>
        <row r="38">
          <cell r="A38">
            <v>1437000</v>
          </cell>
          <cell r="C38">
            <v>40300</v>
          </cell>
          <cell r="D38">
            <v>19915</v>
          </cell>
          <cell r="E38">
            <v>20385</v>
          </cell>
          <cell r="F38">
            <v>2135</v>
          </cell>
          <cell r="G38">
            <v>1061</v>
          </cell>
          <cell r="H38">
            <v>1074</v>
          </cell>
          <cell r="I38">
            <v>2028</v>
          </cell>
          <cell r="J38">
            <v>1054</v>
          </cell>
          <cell r="K38">
            <v>974</v>
          </cell>
          <cell r="L38">
            <v>2311</v>
          </cell>
          <cell r="M38">
            <v>1176</v>
          </cell>
          <cell r="N38">
            <v>1135</v>
          </cell>
          <cell r="O38">
            <v>2771</v>
          </cell>
          <cell r="P38">
            <v>1387</v>
          </cell>
          <cell r="Q38">
            <v>1384</v>
          </cell>
          <cell r="R38">
            <v>3154</v>
          </cell>
          <cell r="S38">
            <v>1651</v>
          </cell>
          <cell r="T38">
            <v>1503</v>
          </cell>
          <cell r="U38">
            <v>3140</v>
          </cell>
          <cell r="V38">
            <v>1657</v>
          </cell>
          <cell r="W38">
            <v>1483</v>
          </cell>
          <cell r="X38">
            <v>2745</v>
          </cell>
          <cell r="Y38">
            <v>1464</v>
          </cell>
          <cell r="Z38">
            <v>1281</v>
          </cell>
          <cell r="AA38">
            <v>2824</v>
          </cell>
          <cell r="AB38">
            <v>1470</v>
          </cell>
          <cell r="AC38">
            <v>1354</v>
          </cell>
          <cell r="AD38">
            <v>2610</v>
          </cell>
          <cell r="AE38">
            <v>1337</v>
          </cell>
          <cell r="AF38">
            <v>1273</v>
          </cell>
          <cell r="AG38">
            <v>2734</v>
          </cell>
          <cell r="AH38">
            <v>1421</v>
          </cell>
          <cell r="AI38">
            <v>1313</v>
          </cell>
          <cell r="AJ38">
            <v>2822</v>
          </cell>
          <cell r="AK38">
            <v>1490</v>
          </cell>
          <cell r="AL38">
            <v>1332</v>
          </cell>
          <cell r="AM38">
            <v>2662</v>
          </cell>
          <cell r="AN38">
            <v>1353</v>
          </cell>
          <cell r="AO38">
            <v>1309</v>
          </cell>
          <cell r="AP38">
            <v>2320</v>
          </cell>
          <cell r="AQ38">
            <v>1100</v>
          </cell>
          <cell r="AR38">
            <v>1220</v>
          </cell>
          <cell r="AS38">
            <v>1539</v>
          </cell>
          <cell r="AT38">
            <v>654</v>
          </cell>
          <cell r="AU38">
            <v>885</v>
          </cell>
          <cell r="AV38">
            <v>4505</v>
          </cell>
          <cell r="AW38">
            <v>1640</v>
          </cell>
          <cell r="AX38">
            <v>2865</v>
          </cell>
          <cell r="AY38">
            <v>1372</v>
          </cell>
          <cell r="AZ38">
            <v>582</v>
          </cell>
          <cell r="BA38">
            <v>790</v>
          </cell>
          <cell r="BB38">
            <v>1359</v>
          </cell>
          <cell r="BC38">
            <v>551</v>
          </cell>
          <cell r="BD38">
            <v>808</v>
          </cell>
          <cell r="BE38">
            <v>1068</v>
          </cell>
          <cell r="BF38">
            <v>345</v>
          </cell>
          <cell r="BG38">
            <v>723</v>
          </cell>
          <cell r="BH38">
            <v>706</v>
          </cell>
          <cell r="BI38">
            <v>162</v>
          </cell>
          <cell r="BJ38">
            <v>544</v>
          </cell>
        </row>
        <row r="39">
          <cell r="A39">
            <v>1438000</v>
          </cell>
          <cell r="C39">
            <v>76573</v>
          </cell>
          <cell r="D39">
            <v>36620</v>
          </cell>
          <cell r="E39">
            <v>39953</v>
          </cell>
          <cell r="F39">
            <v>4454</v>
          </cell>
          <cell r="G39">
            <v>2292</v>
          </cell>
          <cell r="H39">
            <v>2162</v>
          </cell>
          <cell r="I39">
            <v>3875</v>
          </cell>
          <cell r="J39">
            <v>1951</v>
          </cell>
          <cell r="K39">
            <v>1924</v>
          </cell>
          <cell r="L39">
            <v>3692</v>
          </cell>
          <cell r="M39">
            <v>1876</v>
          </cell>
          <cell r="N39">
            <v>1816</v>
          </cell>
          <cell r="O39">
            <v>4269</v>
          </cell>
          <cell r="P39">
            <v>2175</v>
          </cell>
          <cell r="Q39">
            <v>2094</v>
          </cell>
          <cell r="R39">
            <v>4970</v>
          </cell>
          <cell r="S39">
            <v>2575</v>
          </cell>
          <cell r="T39">
            <v>2395</v>
          </cell>
          <cell r="U39">
            <v>5839</v>
          </cell>
          <cell r="V39">
            <v>2955</v>
          </cell>
          <cell r="W39">
            <v>2884</v>
          </cell>
          <cell r="X39">
            <v>6465</v>
          </cell>
          <cell r="Y39">
            <v>3253</v>
          </cell>
          <cell r="Z39">
            <v>3212</v>
          </cell>
          <cell r="AA39">
            <v>5907</v>
          </cell>
          <cell r="AB39">
            <v>2989</v>
          </cell>
          <cell r="AC39">
            <v>2918</v>
          </cell>
          <cell r="AD39">
            <v>4874</v>
          </cell>
          <cell r="AE39">
            <v>2478</v>
          </cell>
          <cell r="AF39">
            <v>2396</v>
          </cell>
          <cell r="AG39">
            <v>4495</v>
          </cell>
          <cell r="AH39">
            <v>2188</v>
          </cell>
          <cell r="AI39">
            <v>2307</v>
          </cell>
          <cell r="AJ39">
            <v>5216</v>
          </cell>
          <cell r="AK39">
            <v>2512</v>
          </cell>
          <cell r="AL39">
            <v>2704</v>
          </cell>
          <cell r="AM39">
            <v>6242</v>
          </cell>
          <cell r="AN39">
            <v>2905</v>
          </cell>
          <cell r="AO39">
            <v>3337</v>
          </cell>
          <cell r="AP39">
            <v>5267</v>
          </cell>
          <cell r="AQ39">
            <v>2417</v>
          </cell>
          <cell r="AR39">
            <v>2850</v>
          </cell>
          <cell r="AS39">
            <v>3388</v>
          </cell>
          <cell r="AT39">
            <v>1470</v>
          </cell>
          <cell r="AU39">
            <v>1918</v>
          </cell>
          <cell r="AV39">
            <v>7620</v>
          </cell>
          <cell r="AW39">
            <v>2584</v>
          </cell>
          <cell r="AX39">
            <v>5036</v>
          </cell>
          <cell r="AY39">
            <v>2512</v>
          </cell>
          <cell r="AZ39">
            <v>980</v>
          </cell>
          <cell r="BA39">
            <v>1532</v>
          </cell>
          <cell r="BB39">
            <v>2174</v>
          </cell>
          <cell r="BC39">
            <v>777</v>
          </cell>
          <cell r="BD39">
            <v>1397</v>
          </cell>
          <cell r="BE39">
            <v>1678</v>
          </cell>
          <cell r="BF39">
            <v>518</v>
          </cell>
          <cell r="BG39">
            <v>1160</v>
          </cell>
          <cell r="BH39">
            <v>1256</v>
          </cell>
          <cell r="BI39">
            <v>309</v>
          </cell>
          <cell r="BJ39">
            <v>947</v>
          </cell>
        </row>
        <row r="40">
          <cell r="A40">
            <v>1461000</v>
          </cell>
          <cell r="C40">
            <v>53287</v>
          </cell>
          <cell r="D40">
            <v>25592</v>
          </cell>
          <cell r="E40">
            <v>27695</v>
          </cell>
          <cell r="F40">
            <v>2846</v>
          </cell>
          <cell r="G40">
            <v>1467</v>
          </cell>
          <cell r="H40">
            <v>1379</v>
          </cell>
          <cell r="I40">
            <v>2530</v>
          </cell>
          <cell r="J40">
            <v>1292</v>
          </cell>
          <cell r="K40">
            <v>1238</v>
          </cell>
          <cell r="L40">
            <v>2576</v>
          </cell>
          <cell r="M40">
            <v>1336</v>
          </cell>
          <cell r="N40">
            <v>1240</v>
          </cell>
          <cell r="O40">
            <v>3265</v>
          </cell>
          <cell r="P40">
            <v>1612</v>
          </cell>
          <cell r="Q40">
            <v>1653</v>
          </cell>
          <cell r="R40">
            <v>3630</v>
          </cell>
          <cell r="S40">
            <v>1785</v>
          </cell>
          <cell r="T40">
            <v>1845</v>
          </cell>
          <cell r="U40">
            <v>4697</v>
          </cell>
          <cell r="V40">
            <v>2426</v>
          </cell>
          <cell r="W40">
            <v>2271</v>
          </cell>
          <cell r="X40">
            <v>4709</v>
          </cell>
          <cell r="Y40">
            <v>2482</v>
          </cell>
          <cell r="Z40">
            <v>2227</v>
          </cell>
          <cell r="AA40">
            <v>3812</v>
          </cell>
          <cell r="AB40">
            <v>1926</v>
          </cell>
          <cell r="AC40">
            <v>1886</v>
          </cell>
          <cell r="AD40">
            <v>3209</v>
          </cell>
          <cell r="AE40">
            <v>1569</v>
          </cell>
          <cell r="AF40">
            <v>1640</v>
          </cell>
          <cell r="AG40">
            <v>3362</v>
          </cell>
          <cell r="AH40">
            <v>1580</v>
          </cell>
          <cell r="AI40">
            <v>1782</v>
          </cell>
          <cell r="AJ40">
            <v>4121</v>
          </cell>
          <cell r="AK40">
            <v>1854</v>
          </cell>
          <cell r="AL40">
            <v>2267</v>
          </cell>
          <cell r="AM40">
            <v>4735</v>
          </cell>
          <cell r="AN40">
            <v>2081</v>
          </cell>
          <cell r="AO40">
            <v>2654</v>
          </cell>
          <cell r="AP40">
            <v>3757</v>
          </cell>
          <cell r="AQ40">
            <v>1784</v>
          </cell>
          <cell r="AR40">
            <v>1973</v>
          </cell>
          <cell r="AS40">
            <v>1924</v>
          </cell>
          <cell r="AT40">
            <v>852</v>
          </cell>
          <cell r="AU40">
            <v>1072</v>
          </cell>
          <cell r="AV40">
            <v>4114</v>
          </cell>
          <cell r="AW40">
            <v>1546</v>
          </cell>
          <cell r="AX40">
            <v>2568</v>
          </cell>
          <cell r="AY40">
            <v>1526</v>
          </cell>
          <cell r="AZ40">
            <v>660</v>
          </cell>
          <cell r="BA40">
            <v>866</v>
          </cell>
          <cell r="BB40">
            <v>1262</v>
          </cell>
          <cell r="BC40">
            <v>497</v>
          </cell>
          <cell r="BD40">
            <v>765</v>
          </cell>
          <cell r="BE40">
            <v>799</v>
          </cell>
          <cell r="BF40">
            <v>264</v>
          </cell>
          <cell r="BG40">
            <v>535</v>
          </cell>
          <cell r="BH40">
            <v>527</v>
          </cell>
          <cell r="BI40">
            <v>125</v>
          </cell>
          <cell r="BJ40">
            <v>402</v>
          </cell>
        </row>
        <row r="41">
          <cell r="A41">
            <v>1462000</v>
          </cell>
          <cell r="C41">
            <v>123627</v>
          </cell>
          <cell r="D41">
            <v>58530</v>
          </cell>
          <cell r="E41">
            <v>65097</v>
          </cell>
          <cell r="F41">
            <v>6483</v>
          </cell>
          <cell r="G41">
            <v>3374</v>
          </cell>
          <cell r="H41">
            <v>3109</v>
          </cell>
          <cell r="I41">
            <v>5665</v>
          </cell>
          <cell r="J41">
            <v>2886</v>
          </cell>
          <cell r="K41">
            <v>2779</v>
          </cell>
          <cell r="L41">
            <v>5318</v>
          </cell>
          <cell r="M41">
            <v>2725</v>
          </cell>
          <cell r="N41">
            <v>2593</v>
          </cell>
          <cell r="O41">
            <v>6781</v>
          </cell>
          <cell r="P41">
            <v>3404</v>
          </cell>
          <cell r="Q41">
            <v>3377</v>
          </cell>
          <cell r="R41">
            <v>7719</v>
          </cell>
          <cell r="S41">
            <v>3941</v>
          </cell>
          <cell r="T41">
            <v>3778</v>
          </cell>
          <cell r="U41">
            <v>9590</v>
          </cell>
          <cell r="V41">
            <v>4856</v>
          </cell>
          <cell r="W41">
            <v>4734</v>
          </cell>
          <cell r="X41">
            <v>10533</v>
          </cell>
          <cell r="Y41">
            <v>5271</v>
          </cell>
          <cell r="Z41">
            <v>5262</v>
          </cell>
          <cell r="AA41">
            <v>10139</v>
          </cell>
          <cell r="AB41">
            <v>5091</v>
          </cell>
          <cell r="AC41">
            <v>5048</v>
          </cell>
          <cell r="AD41">
            <v>8105</v>
          </cell>
          <cell r="AE41">
            <v>3971</v>
          </cell>
          <cell r="AF41">
            <v>4134</v>
          </cell>
          <cell r="AG41">
            <v>7479</v>
          </cell>
          <cell r="AH41">
            <v>3614</v>
          </cell>
          <cell r="AI41">
            <v>3865</v>
          </cell>
          <cell r="AJ41">
            <v>8312</v>
          </cell>
          <cell r="AK41">
            <v>3830</v>
          </cell>
          <cell r="AL41">
            <v>4482</v>
          </cell>
          <cell r="AM41">
            <v>10066</v>
          </cell>
          <cell r="AN41">
            <v>4384</v>
          </cell>
          <cell r="AO41">
            <v>5682</v>
          </cell>
          <cell r="AP41">
            <v>9603</v>
          </cell>
          <cell r="AQ41">
            <v>4221</v>
          </cell>
          <cell r="AR41">
            <v>5382</v>
          </cell>
          <cell r="AS41">
            <v>6322</v>
          </cell>
          <cell r="AT41">
            <v>2694</v>
          </cell>
          <cell r="AU41">
            <v>3628</v>
          </cell>
          <cell r="AV41">
            <v>11512</v>
          </cell>
          <cell r="AW41">
            <v>4268</v>
          </cell>
          <cell r="AX41">
            <v>7244</v>
          </cell>
          <cell r="AY41">
            <v>4465</v>
          </cell>
          <cell r="AZ41">
            <v>1844</v>
          </cell>
          <cell r="BA41">
            <v>2621</v>
          </cell>
          <cell r="BB41">
            <v>3425</v>
          </cell>
          <cell r="BC41">
            <v>1354</v>
          </cell>
          <cell r="BD41">
            <v>2071</v>
          </cell>
          <cell r="BE41">
            <v>2140</v>
          </cell>
          <cell r="BF41">
            <v>730</v>
          </cell>
          <cell r="BG41">
            <v>1410</v>
          </cell>
          <cell r="BH41">
            <v>1482</v>
          </cell>
          <cell r="BI41">
            <v>340</v>
          </cell>
          <cell r="BJ41">
            <v>1142</v>
          </cell>
        </row>
        <row r="42">
          <cell r="A42">
            <v>1463000</v>
          </cell>
          <cell r="C42">
            <v>219703</v>
          </cell>
          <cell r="D42">
            <v>104506</v>
          </cell>
          <cell r="E42">
            <v>115197</v>
          </cell>
          <cell r="F42">
            <v>10941</v>
          </cell>
          <cell r="G42">
            <v>5664</v>
          </cell>
          <cell r="H42">
            <v>5277</v>
          </cell>
          <cell r="I42">
            <v>10361</v>
          </cell>
          <cell r="J42">
            <v>5297</v>
          </cell>
          <cell r="K42">
            <v>5064</v>
          </cell>
          <cell r="L42">
            <v>10240</v>
          </cell>
          <cell r="M42">
            <v>5317</v>
          </cell>
          <cell r="N42">
            <v>4923</v>
          </cell>
          <cell r="O42">
            <v>12368</v>
          </cell>
          <cell r="P42">
            <v>6325</v>
          </cell>
          <cell r="Q42">
            <v>6043</v>
          </cell>
          <cell r="R42">
            <v>14998</v>
          </cell>
          <cell r="S42">
            <v>7820</v>
          </cell>
          <cell r="T42">
            <v>7178</v>
          </cell>
          <cell r="U42">
            <v>17784</v>
          </cell>
          <cell r="V42">
            <v>9147</v>
          </cell>
          <cell r="W42">
            <v>8637</v>
          </cell>
          <cell r="X42">
            <v>18634</v>
          </cell>
          <cell r="Y42">
            <v>9582</v>
          </cell>
          <cell r="Z42">
            <v>9052</v>
          </cell>
          <cell r="AA42">
            <v>16253</v>
          </cell>
          <cell r="AB42">
            <v>8210</v>
          </cell>
          <cell r="AC42">
            <v>8043</v>
          </cell>
          <cell r="AD42">
            <v>13409</v>
          </cell>
          <cell r="AE42">
            <v>6663</v>
          </cell>
          <cell r="AF42">
            <v>6746</v>
          </cell>
          <cell r="AG42">
            <v>12896</v>
          </cell>
          <cell r="AH42">
            <v>6164</v>
          </cell>
          <cell r="AI42">
            <v>6732</v>
          </cell>
          <cell r="AJ42">
            <v>15733</v>
          </cell>
          <cell r="AK42">
            <v>7337</v>
          </cell>
          <cell r="AL42">
            <v>8396</v>
          </cell>
          <cell r="AM42">
            <v>18624</v>
          </cell>
          <cell r="AN42">
            <v>8527</v>
          </cell>
          <cell r="AO42">
            <v>10097</v>
          </cell>
          <cell r="AP42">
            <v>14992</v>
          </cell>
          <cell r="AQ42">
            <v>6452</v>
          </cell>
          <cell r="AR42">
            <v>8540</v>
          </cell>
          <cell r="AS42">
            <v>10153</v>
          </cell>
          <cell r="AT42">
            <v>4284</v>
          </cell>
          <cell r="AU42">
            <v>5869</v>
          </cell>
          <cell r="AV42">
            <v>22317</v>
          </cell>
          <cell r="AW42">
            <v>7717</v>
          </cell>
          <cell r="AX42">
            <v>14600</v>
          </cell>
          <cell r="AY42">
            <v>7145</v>
          </cell>
          <cell r="AZ42">
            <v>2667</v>
          </cell>
          <cell r="BA42">
            <v>4478</v>
          </cell>
          <cell r="BB42">
            <v>6941</v>
          </cell>
          <cell r="BC42">
            <v>2522</v>
          </cell>
          <cell r="BD42">
            <v>4419</v>
          </cell>
          <cell r="BE42">
            <v>5086</v>
          </cell>
          <cell r="BF42">
            <v>1706</v>
          </cell>
          <cell r="BG42">
            <v>3380</v>
          </cell>
          <cell r="BH42">
            <v>3145</v>
          </cell>
          <cell r="BI42">
            <v>822</v>
          </cell>
          <cell r="BJ42">
            <v>2323</v>
          </cell>
        </row>
        <row r="43">
          <cell r="A43">
            <v>1464000</v>
          </cell>
          <cell r="C43">
            <v>76393</v>
          </cell>
          <cell r="D43">
            <v>36157</v>
          </cell>
          <cell r="E43">
            <v>40236</v>
          </cell>
          <cell r="F43">
            <v>4416</v>
          </cell>
          <cell r="G43">
            <v>2240</v>
          </cell>
          <cell r="H43">
            <v>2176</v>
          </cell>
          <cell r="I43">
            <v>3939</v>
          </cell>
          <cell r="J43">
            <v>2058</v>
          </cell>
          <cell r="K43">
            <v>1881</v>
          </cell>
          <cell r="L43">
            <v>3566</v>
          </cell>
          <cell r="M43">
            <v>1846</v>
          </cell>
          <cell r="N43">
            <v>1720</v>
          </cell>
          <cell r="O43">
            <v>4272</v>
          </cell>
          <cell r="P43">
            <v>2226</v>
          </cell>
          <cell r="Q43">
            <v>2046</v>
          </cell>
          <cell r="R43">
            <v>5311</v>
          </cell>
          <cell r="S43">
            <v>2625</v>
          </cell>
          <cell r="T43">
            <v>2686</v>
          </cell>
          <cell r="U43">
            <v>6803</v>
          </cell>
          <cell r="V43">
            <v>3378</v>
          </cell>
          <cell r="W43">
            <v>3425</v>
          </cell>
          <cell r="X43">
            <v>6990</v>
          </cell>
          <cell r="Y43">
            <v>3577</v>
          </cell>
          <cell r="Z43">
            <v>3413</v>
          </cell>
          <cell r="AA43">
            <v>5806</v>
          </cell>
          <cell r="AB43">
            <v>2833</v>
          </cell>
          <cell r="AC43">
            <v>2973</v>
          </cell>
          <cell r="AD43">
            <v>4489</v>
          </cell>
          <cell r="AE43">
            <v>2205</v>
          </cell>
          <cell r="AF43">
            <v>2284</v>
          </cell>
          <cell r="AG43">
            <v>4178</v>
          </cell>
          <cell r="AH43">
            <v>1927</v>
          </cell>
          <cell r="AI43">
            <v>2251</v>
          </cell>
          <cell r="AJ43">
            <v>5159</v>
          </cell>
          <cell r="AK43">
            <v>2270</v>
          </cell>
          <cell r="AL43">
            <v>2889</v>
          </cell>
          <cell r="AM43">
            <v>6379</v>
          </cell>
          <cell r="AN43">
            <v>2809</v>
          </cell>
          <cell r="AO43">
            <v>3570</v>
          </cell>
          <cell r="AP43">
            <v>5392</v>
          </cell>
          <cell r="AQ43">
            <v>2437</v>
          </cell>
          <cell r="AR43">
            <v>2955</v>
          </cell>
          <cell r="AS43">
            <v>3320</v>
          </cell>
          <cell r="AT43">
            <v>1449</v>
          </cell>
          <cell r="AU43">
            <v>1871</v>
          </cell>
          <cell r="AV43">
            <v>6373</v>
          </cell>
          <cell r="AW43">
            <v>2277</v>
          </cell>
          <cell r="AX43">
            <v>4096</v>
          </cell>
          <cell r="AY43">
            <v>2193</v>
          </cell>
          <cell r="AZ43">
            <v>893</v>
          </cell>
          <cell r="BA43">
            <v>1300</v>
          </cell>
          <cell r="BB43">
            <v>1914</v>
          </cell>
          <cell r="BC43">
            <v>692</v>
          </cell>
          <cell r="BD43">
            <v>1222</v>
          </cell>
          <cell r="BE43">
            <v>1324</v>
          </cell>
          <cell r="BF43">
            <v>441</v>
          </cell>
          <cell r="BG43">
            <v>883</v>
          </cell>
          <cell r="BH43">
            <v>942</v>
          </cell>
          <cell r="BI43">
            <v>251</v>
          </cell>
          <cell r="BJ43">
            <v>691</v>
          </cell>
        </row>
        <row r="44">
          <cell r="A44">
            <v>1465000</v>
          </cell>
          <cell r="C44">
            <v>1715517</v>
          </cell>
          <cell r="D44">
            <v>786888</v>
          </cell>
          <cell r="E44">
            <v>928629</v>
          </cell>
          <cell r="F44">
            <v>96858</v>
          </cell>
          <cell r="G44">
            <v>49994</v>
          </cell>
          <cell r="H44">
            <v>46864</v>
          </cell>
          <cell r="I44">
            <v>76998</v>
          </cell>
          <cell r="J44">
            <v>39180</v>
          </cell>
          <cell r="K44">
            <v>37818</v>
          </cell>
          <cell r="L44">
            <v>60059</v>
          </cell>
          <cell r="M44">
            <v>30672</v>
          </cell>
          <cell r="N44">
            <v>29387</v>
          </cell>
          <cell r="O44">
            <v>63740</v>
          </cell>
          <cell r="P44">
            <v>32451</v>
          </cell>
          <cell r="Q44">
            <v>31289</v>
          </cell>
          <cell r="R44">
            <v>94397</v>
          </cell>
          <cell r="S44">
            <v>46421</v>
          </cell>
          <cell r="T44">
            <v>47976</v>
          </cell>
          <cell r="U44">
            <v>144054</v>
          </cell>
          <cell r="V44">
            <v>68501</v>
          </cell>
          <cell r="W44">
            <v>75553</v>
          </cell>
          <cell r="X44">
            <v>161108</v>
          </cell>
          <cell r="Y44">
            <v>75908</v>
          </cell>
          <cell r="Z44">
            <v>85200</v>
          </cell>
          <cell r="AA44">
            <v>150436</v>
          </cell>
          <cell r="AB44">
            <v>71631</v>
          </cell>
          <cell r="AC44">
            <v>78805</v>
          </cell>
          <cell r="AD44">
            <v>105868</v>
          </cell>
          <cell r="AE44">
            <v>51485</v>
          </cell>
          <cell r="AF44">
            <v>54383</v>
          </cell>
          <cell r="AG44">
            <v>88730</v>
          </cell>
          <cell r="AH44">
            <v>42770</v>
          </cell>
          <cell r="AI44">
            <v>45960</v>
          </cell>
          <cell r="AJ44">
            <v>105446</v>
          </cell>
          <cell r="AK44">
            <v>48698</v>
          </cell>
          <cell r="AL44">
            <v>56748</v>
          </cell>
          <cell r="AM44">
            <v>137463</v>
          </cell>
          <cell r="AN44">
            <v>61242</v>
          </cell>
          <cell r="AO44">
            <v>76221</v>
          </cell>
          <cell r="AP44">
            <v>122154</v>
          </cell>
          <cell r="AQ44">
            <v>53205</v>
          </cell>
          <cell r="AR44">
            <v>68949</v>
          </cell>
          <cell r="AS44">
            <v>84709</v>
          </cell>
          <cell r="AT44">
            <v>34967</v>
          </cell>
          <cell r="AU44">
            <v>49742</v>
          </cell>
          <cell r="AV44">
            <v>223497</v>
          </cell>
          <cell r="AW44">
            <v>79763</v>
          </cell>
          <cell r="AX44">
            <v>143734</v>
          </cell>
          <cell r="AY44">
            <v>65891</v>
          </cell>
          <cell r="AZ44">
            <v>25127</v>
          </cell>
          <cell r="BA44">
            <v>40764</v>
          </cell>
          <cell r="BB44">
            <v>65483</v>
          </cell>
          <cell r="BC44">
            <v>23572</v>
          </cell>
          <cell r="BD44">
            <v>41911</v>
          </cell>
          <cell r="BE44">
            <v>54344</v>
          </cell>
          <cell r="BF44">
            <v>19511</v>
          </cell>
          <cell r="BG44">
            <v>34833</v>
          </cell>
          <cell r="BH44">
            <v>37779</v>
          </cell>
          <cell r="BI44">
            <v>11553</v>
          </cell>
          <cell r="BJ44">
            <v>26226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GA_3362_CTAB_20231228113847"/>
    </sheetNames>
    <sheetDataSet>
      <sheetData sheetId="0" refreshError="1">
        <row r="2">
          <cell r="A2">
            <v>1400000</v>
          </cell>
          <cell r="C2">
            <v>142841</v>
          </cell>
          <cell r="D2">
            <v>26.99</v>
          </cell>
          <cell r="E2">
            <v>19.53</v>
          </cell>
          <cell r="F2">
            <v>2.65</v>
          </cell>
        </row>
        <row r="3">
          <cell r="A3">
            <v>1401000</v>
          </cell>
          <cell r="C3">
            <v>748</v>
          </cell>
          <cell r="D3">
            <v>22.13</v>
          </cell>
          <cell r="E3">
            <v>15.33</v>
          </cell>
          <cell r="F3">
            <v>1.6</v>
          </cell>
        </row>
        <row r="4">
          <cell r="A4">
            <v>1402000</v>
          </cell>
          <cell r="C4">
            <v>2531</v>
          </cell>
          <cell r="D4">
            <v>27.72</v>
          </cell>
          <cell r="E4">
            <v>17.190000000000001</v>
          </cell>
          <cell r="F4">
            <v>4.3899999999999997</v>
          </cell>
        </row>
        <row r="5">
          <cell r="A5">
            <v>1403000</v>
          </cell>
          <cell r="C5">
            <v>2193</v>
          </cell>
          <cell r="D5">
            <v>20.21</v>
          </cell>
          <cell r="E5">
            <v>10.77</v>
          </cell>
          <cell r="F5">
            <v>1.8</v>
          </cell>
        </row>
        <row r="6">
          <cell r="A6">
            <v>1404000</v>
          </cell>
          <cell r="C6">
            <v>695</v>
          </cell>
          <cell r="D6">
            <v>14.87</v>
          </cell>
          <cell r="E6">
            <v>8.3000000000000007</v>
          </cell>
          <cell r="F6">
            <v>0.77</v>
          </cell>
        </row>
        <row r="7">
          <cell r="A7">
            <v>1405000</v>
          </cell>
          <cell r="C7">
            <v>2055</v>
          </cell>
          <cell r="D7">
            <v>23.64</v>
          </cell>
          <cell r="E7">
            <v>17.649999999999999</v>
          </cell>
          <cell r="F7">
            <v>1.74</v>
          </cell>
        </row>
        <row r="8">
          <cell r="A8">
            <v>1406000</v>
          </cell>
          <cell r="C8">
            <v>2800</v>
          </cell>
          <cell r="D8">
            <v>28.42</v>
          </cell>
          <cell r="E8">
            <v>20.64</v>
          </cell>
          <cell r="F8">
            <v>1.59</v>
          </cell>
        </row>
        <row r="9">
          <cell r="A9">
            <v>1407000</v>
          </cell>
          <cell r="C9">
            <v>1707</v>
          </cell>
          <cell r="D9">
            <v>27.37</v>
          </cell>
          <cell r="E9">
            <v>16.309999999999999</v>
          </cell>
          <cell r="F9">
            <v>0.45</v>
          </cell>
        </row>
        <row r="10">
          <cell r="A10">
            <v>1408000</v>
          </cell>
          <cell r="C10">
            <v>2938</v>
          </cell>
          <cell r="D10">
            <v>26.87</v>
          </cell>
          <cell r="E10">
            <v>18.010000000000002</v>
          </cell>
          <cell r="F10">
            <v>2.19</v>
          </cell>
        </row>
        <row r="11">
          <cell r="A11">
            <v>1409000</v>
          </cell>
          <cell r="C11">
            <v>734</v>
          </cell>
          <cell r="D11">
            <v>20.32</v>
          </cell>
          <cell r="E11">
            <v>8.7200000000000006</v>
          </cell>
          <cell r="F11">
            <v>1.44</v>
          </cell>
        </row>
        <row r="12">
          <cell r="A12">
            <v>1410000</v>
          </cell>
          <cell r="C12">
            <v>603</v>
          </cell>
          <cell r="D12">
            <v>18.600000000000001</v>
          </cell>
          <cell r="E12">
            <v>13.26</v>
          </cell>
          <cell r="F12">
            <v>0.52</v>
          </cell>
        </row>
        <row r="13">
          <cell r="A13">
            <v>1411000</v>
          </cell>
          <cell r="C13">
            <v>1087</v>
          </cell>
          <cell r="D13">
            <v>23.18</v>
          </cell>
          <cell r="E13">
            <v>8.89</v>
          </cell>
          <cell r="F13">
            <v>7.4</v>
          </cell>
        </row>
        <row r="14">
          <cell r="A14">
            <v>1412000</v>
          </cell>
          <cell r="C14">
            <v>2945</v>
          </cell>
          <cell r="D14">
            <v>19.82</v>
          </cell>
          <cell r="E14">
            <v>13.52</v>
          </cell>
          <cell r="F14">
            <v>1.35</v>
          </cell>
        </row>
        <row r="15">
          <cell r="A15">
            <v>1413000</v>
          </cell>
          <cell r="C15">
            <v>1588</v>
          </cell>
          <cell r="D15">
            <v>21.3</v>
          </cell>
          <cell r="E15">
            <v>13.54</v>
          </cell>
          <cell r="F15">
            <v>3.07</v>
          </cell>
        </row>
        <row r="16">
          <cell r="A16">
            <v>1414000</v>
          </cell>
          <cell r="C16">
            <v>2468</v>
          </cell>
          <cell r="D16">
            <v>31.57</v>
          </cell>
          <cell r="E16">
            <v>20.43</v>
          </cell>
          <cell r="F16">
            <v>2.89</v>
          </cell>
        </row>
        <row r="17">
          <cell r="A17">
            <v>1415000</v>
          </cell>
          <cell r="C17">
            <v>3815</v>
          </cell>
          <cell r="D17">
            <v>43.5</v>
          </cell>
          <cell r="E17">
            <v>22.64</v>
          </cell>
          <cell r="F17">
            <v>12.06</v>
          </cell>
        </row>
        <row r="18">
          <cell r="A18">
            <v>1416000</v>
          </cell>
          <cell r="C18">
            <v>2077</v>
          </cell>
          <cell r="D18">
            <v>27.6</v>
          </cell>
          <cell r="E18">
            <v>18.91</v>
          </cell>
          <cell r="F18">
            <v>1.57</v>
          </cell>
        </row>
        <row r="19">
          <cell r="A19">
            <v>1417000</v>
          </cell>
          <cell r="C19">
            <v>2814</v>
          </cell>
          <cell r="D19">
            <v>23.14</v>
          </cell>
          <cell r="E19">
            <v>15.41</v>
          </cell>
          <cell r="F19">
            <v>3.03</v>
          </cell>
        </row>
        <row r="20">
          <cell r="A20">
            <v>1418000</v>
          </cell>
          <cell r="C20">
            <v>3840</v>
          </cell>
          <cell r="D20">
            <v>22.92</v>
          </cell>
          <cell r="E20">
            <v>16.829999999999998</v>
          </cell>
          <cell r="F20">
            <v>1.84</v>
          </cell>
        </row>
        <row r="21">
          <cell r="A21">
            <v>1419000</v>
          </cell>
          <cell r="C21">
            <v>4826</v>
          </cell>
          <cell r="D21">
            <v>43.64</v>
          </cell>
          <cell r="E21">
            <v>29.67</v>
          </cell>
          <cell r="F21">
            <v>5.14</v>
          </cell>
        </row>
        <row r="22">
          <cell r="A22">
            <v>1420000</v>
          </cell>
          <cell r="C22">
            <v>1725</v>
          </cell>
          <cell r="D22">
            <v>19.37</v>
          </cell>
          <cell r="E22">
            <v>12.1</v>
          </cell>
          <cell r="F22">
            <v>2.2999999999999998</v>
          </cell>
        </row>
        <row r="23">
          <cell r="A23">
            <v>1421000</v>
          </cell>
          <cell r="C23">
            <v>3632</v>
          </cell>
          <cell r="D23">
            <v>23.24</v>
          </cell>
          <cell r="E23">
            <v>17.38</v>
          </cell>
          <cell r="F23">
            <v>2.23</v>
          </cell>
        </row>
        <row r="24">
          <cell r="A24">
            <v>1422000</v>
          </cell>
          <cell r="C24">
            <v>1377</v>
          </cell>
          <cell r="D24">
            <v>25.55</v>
          </cell>
          <cell r="E24">
            <v>13.69</v>
          </cell>
          <cell r="F24">
            <v>2.95</v>
          </cell>
        </row>
        <row r="25">
          <cell r="A25">
            <v>1423000</v>
          </cell>
          <cell r="C25">
            <v>741</v>
          </cell>
          <cell r="D25">
            <v>17.09</v>
          </cell>
          <cell r="E25">
            <v>10.98</v>
          </cell>
          <cell r="F25">
            <v>2.08</v>
          </cell>
        </row>
        <row r="26">
          <cell r="A26">
            <v>1424000</v>
          </cell>
          <cell r="C26">
            <v>1418</v>
          </cell>
          <cell r="D26">
            <v>27.61</v>
          </cell>
          <cell r="E26">
            <v>16.649999999999999</v>
          </cell>
          <cell r="F26">
            <v>1.34</v>
          </cell>
        </row>
        <row r="27">
          <cell r="A27">
            <v>1425000</v>
          </cell>
          <cell r="C27">
            <v>8798</v>
          </cell>
          <cell r="D27">
            <v>58.53</v>
          </cell>
          <cell r="E27">
            <v>39.409999999999997</v>
          </cell>
          <cell r="F27">
            <v>4.47</v>
          </cell>
        </row>
        <row r="28">
          <cell r="A28">
            <v>1426000</v>
          </cell>
          <cell r="C28">
            <v>3313</v>
          </cell>
          <cell r="D28">
            <v>40.450000000000003</v>
          </cell>
          <cell r="E28">
            <v>26.51</v>
          </cell>
          <cell r="F28">
            <v>4.3499999999999996</v>
          </cell>
        </row>
        <row r="29">
          <cell r="A29">
            <v>1427000</v>
          </cell>
          <cell r="C29">
            <v>1665</v>
          </cell>
          <cell r="D29">
            <v>31.04</v>
          </cell>
          <cell r="E29">
            <v>8.69</v>
          </cell>
          <cell r="F29">
            <v>11.65</v>
          </cell>
        </row>
        <row r="30">
          <cell r="A30">
            <v>1428000</v>
          </cell>
          <cell r="C30">
            <v>2478</v>
          </cell>
          <cell r="D30">
            <v>29.11</v>
          </cell>
          <cell r="E30">
            <v>17.670000000000002</v>
          </cell>
          <cell r="F30">
            <v>5.65</v>
          </cell>
        </row>
        <row r="31">
          <cell r="A31">
            <v>1429000</v>
          </cell>
          <cell r="C31">
            <v>1333</v>
          </cell>
          <cell r="D31">
            <v>23.61</v>
          </cell>
          <cell r="E31">
            <v>14.56</v>
          </cell>
          <cell r="F31">
            <v>2.29</v>
          </cell>
        </row>
        <row r="32">
          <cell r="A32">
            <v>1430000</v>
          </cell>
          <cell r="C32">
            <v>824</v>
          </cell>
          <cell r="D32">
            <v>20.239999999999998</v>
          </cell>
          <cell r="E32">
            <v>9.68</v>
          </cell>
          <cell r="F32">
            <v>1.82</v>
          </cell>
        </row>
        <row r="33">
          <cell r="A33">
            <v>1432000</v>
          </cell>
          <cell r="C33">
            <v>2621</v>
          </cell>
          <cell r="D33">
            <v>24.07</v>
          </cell>
          <cell r="E33">
            <v>17.03</v>
          </cell>
          <cell r="F33">
            <v>1.35</v>
          </cell>
        </row>
        <row r="34">
          <cell r="A34">
            <v>1433000</v>
          </cell>
          <cell r="C34">
            <v>1776</v>
          </cell>
          <cell r="D34">
            <v>26.15</v>
          </cell>
          <cell r="E34">
            <v>16.059999999999999</v>
          </cell>
          <cell r="F34">
            <v>1.1499999999999999</v>
          </cell>
        </row>
        <row r="35">
          <cell r="A35">
            <v>1434000</v>
          </cell>
          <cell r="C35">
            <v>5910</v>
          </cell>
          <cell r="D35">
            <v>26.35</v>
          </cell>
          <cell r="E35">
            <v>19.5</v>
          </cell>
          <cell r="F35">
            <v>1.84</v>
          </cell>
        </row>
        <row r="36">
          <cell r="A36">
            <v>1435000</v>
          </cell>
          <cell r="C36">
            <v>2274</v>
          </cell>
          <cell r="D36">
            <v>30.82</v>
          </cell>
          <cell r="E36">
            <v>20.59</v>
          </cell>
          <cell r="F36">
            <v>2.2200000000000002</v>
          </cell>
        </row>
        <row r="37">
          <cell r="A37">
            <v>1436000</v>
          </cell>
          <cell r="C37">
            <v>704</v>
          </cell>
          <cell r="D37">
            <v>18.98</v>
          </cell>
          <cell r="E37">
            <v>11.51</v>
          </cell>
          <cell r="F37">
            <v>1.89</v>
          </cell>
        </row>
        <row r="38">
          <cell r="A38">
            <v>1437000</v>
          </cell>
          <cell r="C38">
            <v>551</v>
          </cell>
          <cell r="D38">
            <v>13.67</v>
          </cell>
          <cell r="E38">
            <v>7.99</v>
          </cell>
          <cell r="F38">
            <v>0.79</v>
          </cell>
        </row>
        <row r="39">
          <cell r="A39">
            <v>1438000</v>
          </cell>
          <cell r="C39">
            <v>2150</v>
          </cell>
          <cell r="D39">
            <v>28.06</v>
          </cell>
          <cell r="E39">
            <v>21.76</v>
          </cell>
          <cell r="F39">
            <v>1.77</v>
          </cell>
        </row>
        <row r="40">
          <cell r="A40">
            <v>1461000</v>
          </cell>
          <cell r="C40">
            <v>3815</v>
          </cell>
          <cell r="D40">
            <v>71.48</v>
          </cell>
          <cell r="E40">
            <v>37.21</v>
          </cell>
          <cell r="F40">
            <v>19.82</v>
          </cell>
        </row>
        <row r="41">
          <cell r="A41">
            <v>1462000</v>
          </cell>
          <cell r="C41">
            <v>4826</v>
          </cell>
          <cell r="D41">
            <v>38.9</v>
          </cell>
          <cell r="E41">
            <v>26.45</v>
          </cell>
          <cell r="F41">
            <v>4.58</v>
          </cell>
        </row>
        <row r="42">
          <cell r="A42">
            <v>1463000</v>
          </cell>
          <cell r="C42">
            <v>8798</v>
          </cell>
          <cell r="D42">
            <v>39.979999999999997</v>
          </cell>
          <cell r="E42">
            <v>26.92</v>
          </cell>
          <cell r="F42">
            <v>3.05</v>
          </cell>
        </row>
        <row r="43">
          <cell r="A43">
            <v>1464000</v>
          </cell>
          <cell r="C43">
            <v>3313</v>
          </cell>
          <cell r="D43">
            <v>43.31</v>
          </cell>
          <cell r="E43">
            <v>28.38</v>
          </cell>
          <cell r="F43">
            <v>4.6500000000000004</v>
          </cell>
        </row>
        <row r="44">
          <cell r="A44">
            <v>1465000</v>
          </cell>
          <cell r="C44">
            <v>57087</v>
          </cell>
          <cell r="D44">
            <v>33.36</v>
          </cell>
          <cell r="E44">
            <v>27.83</v>
          </cell>
          <cell r="F44">
            <v>2.95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YNE_3783_CTAB_20231228114052"/>
    </sheetNames>
    <sheetDataSet>
      <sheetData sheetId="0" refreshError="1">
        <row r="2">
          <cell r="A2">
            <v>1400000</v>
          </cell>
          <cell r="C2">
            <v>17251</v>
          </cell>
          <cell r="D2">
            <v>4148</v>
          </cell>
          <cell r="E2">
            <v>7479</v>
          </cell>
          <cell r="F2">
            <v>3291</v>
          </cell>
          <cell r="G2">
            <v>2333</v>
          </cell>
        </row>
        <row r="3">
          <cell r="A3">
            <v>1401000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1402000</v>
          </cell>
          <cell r="C4">
            <v>122</v>
          </cell>
          <cell r="D4">
            <v>32</v>
          </cell>
          <cell r="E4">
            <v>63</v>
          </cell>
          <cell r="F4">
            <v>23</v>
          </cell>
          <cell r="G4">
            <v>4</v>
          </cell>
        </row>
        <row r="5">
          <cell r="A5">
            <v>1403000</v>
          </cell>
          <cell r="C5">
            <v>8</v>
          </cell>
          <cell r="D5">
            <v>0</v>
          </cell>
          <cell r="E5">
            <v>5</v>
          </cell>
          <cell r="F5">
            <v>0</v>
          </cell>
          <cell r="G5">
            <v>0</v>
          </cell>
        </row>
        <row r="6">
          <cell r="A6">
            <v>1404000</v>
          </cell>
          <cell r="C6">
            <v>35</v>
          </cell>
          <cell r="D6">
            <v>10</v>
          </cell>
          <cell r="E6">
            <v>17</v>
          </cell>
          <cell r="F6">
            <v>6</v>
          </cell>
          <cell r="G6">
            <v>0</v>
          </cell>
        </row>
        <row r="7">
          <cell r="A7">
            <v>1407000</v>
          </cell>
          <cell r="C7">
            <v>127</v>
          </cell>
          <cell r="D7">
            <v>29</v>
          </cell>
          <cell r="E7">
            <v>83</v>
          </cell>
          <cell r="F7">
            <v>10</v>
          </cell>
          <cell r="G7">
            <v>5</v>
          </cell>
        </row>
        <row r="8">
          <cell r="A8">
            <v>1408000</v>
          </cell>
          <cell r="C8">
            <v>247</v>
          </cell>
          <cell r="D8">
            <v>55</v>
          </cell>
          <cell r="E8">
            <v>133</v>
          </cell>
          <cell r="F8">
            <v>50</v>
          </cell>
          <cell r="G8">
            <v>9</v>
          </cell>
        </row>
        <row r="9">
          <cell r="A9">
            <v>1410000</v>
          </cell>
          <cell r="C9">
            <v>4</v>
          </cell>
          <cell r="D9">
            <v>0</v>
          </cell>
          <cell r="E9">
            <v>0</v>
          </cell>
          <cell r="F9">
            <v>0</v>
          </cell>
          <cell r="G9">
            <v>3</v>
          </cell>
        </row>
        <row r="10">
          <cell r="A10">
            <v>1412000</v>
          </cell>
          <cell r="C10">
            <v>367</v>
          </cell>
          <cell r="D10">
            <v>72</v>
          </cell>
          <cell r="E10">
            <v>182</v>
          </cell>
          <cell r="F10">
            <v>95</v>
          </cell>
          <cell r="G10">
            <v>18</v>
          </cell>
        </row>
        <row r="11">
          <cell r="A11">
            <v>1413000</v>
          </cell>
          <cell r="C11">
            <v>140</v>
          </cell>
          <cell r="D11">
            <v>39</v>
          </cell>
          <cell r="E11">
            <v>73</v>
          </cell>
          <cell r="F11">
            <v>24</v>
          </cell>
          <cell r="G11">
            <v>4</v>
          </cell>
        </row>
        <row r="12">
          <cell r="A12">
            <v>1414000</v>
          </cell>
          <cell r="C12">
            <v>243</v>
          </cell>
          <cell r="D12">
            <v>76</v>
          </cell>
          <cell r="E12">
            <v>128</v>
          </cell>
          <cell r="F12">
            <v>39</v>
          </cell>
          <cell r="G12">
            <v>0</v>
          </cell>
        </row>
        <row r="13">
          <cell r="A13">
            <v>1415000</v>
          </cell>
          <cell r="C13">
            <v>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>
            <v>1416000</v>
          </cell>
          <cell r="C14">
            <v>18</v>
          </cell>
          <cell r="D14">
            <v>5</v>
          </cell>
          <cell r="E14">
            <v>9</v>
          </cell>
          <cell r="F14">
            <v>4</v>
          </cell>
          <cell r="G14">
            <v>0</v>
          </cell>
        </row>
        <row r="15">
          <cell r="A15">
            <v>1417000</v>
          </cell>
          <cell r="C15">
            <v>168</v>
          </cell>
          <cell r="D15">
            <v>35</v>
          </cell>
          <cell r="E15">
            <v>77</v>
          </cell>
          <cell r="F15">
            <v>30</v>
          </cell>
          <cell r="G15">
            <v>26</v>
          </cell>
        </row>
        <row r="16">
          <cell r="A16">
            <v>1418000</v>
          </cell>
          <cell r="C16">
            <v>1316</v>
          </cell>
          <cell r="D16">
            <v>189</v>
          </cell>
          <cell r="E16">
            <v>621</v>
          </cell>
          <cell r="F16">
            <v>257</v>
          </cell>
          <cell r="G16">
            <v>249</v>
          </cell>
        </row>
        <row r="17">
          <cell r="A17">
            <v>1420000</v>
          </cell>
          <cell r="C17">
            <v>131</v>
          </cell>
          <cell r="D17">
            <v>44</v>
          </cell>
          <cell r="E17">
            <v>56</v>
          </cell>
          <cell r="F17">
            <v>27</v>
          </cell>
          <cell r="G17">
            <v>4</v>
          </cell>
        </row>
        <row r="18">
          <cell r="A18">
            <v>1421000</v>
          </cell>
          <cell r="C18">
            <v>600</v>
          </cell>
          <cell r="D18">
            <v>109</v>
          </cell>
          <cell r="E18">
            <v>299</v>
          </cell>
          <cell r="F18">
            <v>123</v>
          </cell>
          <cell r="G18">
            <v>69</v>
          </cell>
        </row>
        <row r="19">
          <cell r="A19">
            <v>1422000</v>
          </cell>
          <cell r="C19">
            <v>59</v>
          </cell>
          <cell r="D19">
            <v>11</v>
          </cell>
          <cell r="E19">
            <v>35</v>
          </cell>
          <cell r="F19">
            <v>10</v>
          </cell>
          <cell r="G19">
            <v>3</v>
          </cell>
        </row>
        <row r="20">
          <cell r="A20">
            <v>1423000</v>
          </cell>
          <cell r="C20">
            <v>8</v>
          </cell>
          <cell r="D20">
            <v>3</v>
          </cell>
          <cell r="E20">
            <v>5</v>
          </cell>
          <cell r="F20">
            <v>0</v>
          </cell>
          <cell r="G20">
            <v>0</v>
          </cell>
        </row>
        <row r="21">
          <cell r="A21">
            <v>1424000</v>
          </cell>
          <cell r="C21">
            <v>101</v>
          </cell>
          <cell r="D21">
            <v>31</v>
          </cell>
          <cell r="E21">
            <v>52</v>
          </cell>
          <cell r="F21">
            <v>16</v>
          </cell>
          <cell r="G21">
            <v>0</v>
          </cell>
        </row>
        <row r="22">
          <cell r="A22">
            <v>1425000</v>
          </cell>
          <cell r="C22">
            <v>29</v>
          </cell>
          <cell r="D22">
            <v>8</v>
          </cell>
          <cell r="E22">
            <v>18</v>
          </cell>
          <cell r="F22">
            <v>0</v>
          </cell>
          <cell r="G22">
            <v>0</v>
          </cell>
        </row>
        <row r="23">
          <cell r="A23">
            <v>1426000</v>
          </cell>
          <cell r="C23">
            <v>8</v>
          </cell>
          <cell r="D23">
            <v>0</v>
          </cell>
          <cell r="E23">
            <v>3</v>
          </cell>
          <cell r="F23">
            <v>0</v>
          </cell>
          <cell r="G23">
            <v>3</v>
          </cell>
        </row>
        <row r="24">
          <cell r="A24">
            <v>1427000</v>
          </cell>
          <cell r="C24">
            <v>27</v>
          </cell>
          <cell r="D24">
            <v>9</v>
          </cell>
          <cell r="E24">
            <v>18</v>
          </cell>
          <cell r="F24">
            <v>0</v>
          </cell>
          <cell r="G24">
            <v>0</v>
          </cell>
        </row>
        <row r="25">
          <cell r="A25">
            <v>1428000</v>
          </cell>
          <cell r="C25">
            <v>58</v>
          </cell>
          <cell r="D25">
            <v>19</v>
          </cell>
          <cell r="E25">
            <v>25</v>
          </cell>
          <cell r="F25">
            <v>13</v>
          </cell>
          <cell r="G25">
            <v>0</v>
          </cell>
        </row>
        <row r="26">
          <cell r="A26">
            <v>1429000</v>
          </cell>
          <cell r="C26">
            <v>32</v>
          </cell>
          <cell r="D26">
            <v>11</v>
          </cell>
          <cell r="E26">
            <v>15</v>
          </cell>
          <cell r="F26">
            <v>5</v>
          </cell>
          <cell r="G26">
            <v>0</v>
          </cell>
        </row>
        <row r="27">
          <cell r="A27">
            <v>1430000</v>
          </cell>
          <cell r="C27">
            <v>22</v>
          </cell>
          <cell r="D27">
            <v>8</v>
          </cell>
          <cell r="E27">
            <v>12</v>
          </cell>
          <cell r="F27">
            <v>0</v>
          </cell>
          <cell r="G27">
            <v>0</v>
          </cell>
        </row>
        <row r="28">
          <cell r="A28">
            <v>1432000</v>
          </cell>
          <cell r="C28">
            <v>362</v>
          </cell>
          <cell r="D28">
            <v>92</v>
          </cell>
          <cell r="E28">
            <v>131</v>
          </cell>
          <cell r="F28">
            <v>88</v>
          </cell>
          <cell r="G28">
            <v>51</v>
          </cell>
        </row>
        <row r="29">
          <cell r="A29">
            <v>1433000</v>
          </cell>
          <cell r="C29">
            <v>27</v>
          </cell>
          <cell r="D29">
            <v>6</v>
          </cell>
          <cell r="E29">
            <v>14</v>
          </cell>
          <cell r="F29">
            <v>7</v>
          </cell>
          <cell r="G29">
            <v>0</v>
          </cell>
        </row>
        <row r="30">
          <cell r="A30">
            <v>1434000</v>
          </cell>
          <cell r="C30">
            <v>510</v>
          </cell>
          <cell r="D30">
            <v>76</v>
          </cell>
          <cell r="E30">
            <v>201</v>
          </cell>
          <cell r="F30">
            <v>125</v>
          </cell>
          <cell r="G30">
            <v>108</v>
          </cell>
        </row>
        <row r="31">
          <cell r="A31">
            <v>1435000</v>
          </cell>
          <cell r="C31">
            <v>24</v>
          </cell>
          <cell r="D31">
            <v>10</v>
          </cell>
          <cell r="E31">
            <v>12</v>
          </cell>
          <cell r="F31">
            <v>0</v>
          </cell>
          <cell r="G31">
            <v>0</v>
          </cell>
        </row>
        <row r="32">
          <cell r="A32">
            <v>1436000</v>
          </cell>
          <cell r="C32">
            <v>4</v>
          </cell>
          <cell r="D32">
            <v>0</v>
          </cell>
          <cell r="E32">
            <v>3</v>
          </cell>
          <cell r="F32">
            <v>0</v>
          </cell>
          <cell r="G32">
            <v>0</v>
          </cell>
        </row>
        <row r="33">
          <cell r="A33">
            <v>1437000</v>
          </cell>
          <cell r="C33">
            <v>32</v>
          </cell>
          <cell r="D33">
            <v>8</v>
          </cell>
          <cell r="E33">
            <v>12</v>
          </cell>
          <cell r="F33">
            <v>10</v>
          </cell>
          <cell r="G33">
            <v>0</v>
          </cell>
        </row>
        <row r="34">
          <cell r="A34">
            <v>1438000</v>
          </cell>
          <cell r="C34">
            <v>126</v>
          </cell>
          <cell r="D34">
            <v>49</v>
          </cell>
          <cell r="E34">
            <v>57</v>
          </cell>
          <cell r="F34">
            <v>18</v>
          </cell>
          <cell r="G34">
            <v>0</v>
          </cell>
        </row>
        <row r="35">
          <cell r="A35">
            <v>1461000</v>
          </cell>
          <cell r="C35">
            <v>77</v>
          </cell>
          <cell r="D35">
            <v>21</v>
          </cell>
          <cell r="E35">
            <v>42</v>
          </cell>
          <cell r="F35">
            <v>10</v>
          </cell>
          <cell r="G35">
            <v>4</v>
          </cell>
        </row>
        <row r="36">
          <cell r="A36">
            <v>1462000</v>
          </cell>
          <cell r="C36">
            <v>630</v>
          </cell>
          <cell r="D36">
            <v>153</v>
          </cell>
          <cell r="E36">
            <v>338</v>
          </cell>
          <cell r="F36">
            <v>112</v>
          </cell>
          <cell r="G36">
            <v>27</v>
          </cell>
        </row>
        <row r="37">
          <cell r="A37">
            <v>1463000</v>
          </cell>
          <cell r="C37">
            <v>417</v>
          </cell>
          <cell r="D37">
            <v>93</v>
          </cell>
          <cell r="E37">
            <v>185</v>
          </cell>
          <cell r="F37">
            <v>118</v>
          </cell>
          <cell r="G37">
            <v>21</v>
          </cell>
        </row>
        <row r="38">
          <cell r="A38">
            <v>1464000</v>
          </cell>
          <cell r="C38">
            <v>562</v>
          </cell>
          <cell r="D38">
            <v>103</v>
          </cell>
          <cell r="E38">
            <v>297</v>
          </cell>
          <cell r="F38">
            <v>142</v>
          </cell>
          <cell r="G38">
            <v>20</v>
          </cell>
        </row>
        <row r="39">
          <cell r="A39">
            <v>1465000</v>
          </cell>
          <cell r="C39">
            <v>10604</v>
          </cell>
          <cell r="D39">
            <v>2736</v>
          </cell>
          <cell r="E39">
            <v>4257</v>
          </cell>
          <cell r="F39">
            <v>1920</v>
          </cell>
          <cell r="G39">
            <v>1691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YNE_2392_CTAB_20231228114250"/>
    </sheetNames>
    <sheetDataSet>
      <sheetData sheetId="0" refreshError="1">
        <row r="2">
          <cell r="A2">
            <v>1400000</v>
          </cell>
          <cell r="C2">
            <v>10.7</v>
          </cell>
        </row>
        <row r="3">
          <cell r="A3">
            <v>1401000</v>
          </cell>
          <cell r="C3">
            <v>17</v>
          </cell>
        </row>
        <row r="4">
          <cell r="A4">
            <v>1402000</v>
          </cell>
          <cell r="C4">
            <v>17.3</v>
          </cell>
        </row>
        <row r="5">
          <cell r="A5">
            <v>1403000</v>
          </cell>
          <cell r="C5">
            <v>14.5</v>
          </cell>
        </row>
        <row r="6">
          <cell r="A6">
            <v>1404000</v>
          </cell>
          <cell r="C6">
            <v>23.2</v>
          </cell>
        </row>
        <row r="7">
          <cell r="A7">
            <v>1405000</v>
          </cell>
          <cell r="C7">
            <v>7.8</v>
          </cell>
        </row>
        <row r="8">
          <cell r="A8">
            <v>1406000</v>
          </cell>
          <cell r="C8">
            <v>8.6</v>
          </cell>
        </row>
        <row r="9">
          <cell r="A9">
            <v>1407000</v>
          </cell>
          <cell r="C9">
            <v>19.100000000000001</v>
          </cell>
        </row>
        <row r="10">
          <cell r="A10">
            <v>1408000</v>
          </cell>
          <cell r="C10">
            <v>14.7</v>
          </cell>
        </row>
        <row r="11">
          <cell r="A11">
            <v>1409000</v>
          </cell>
          <cell r="C11">
            <v>17</v>
          </cell>
        </row>
        <row r="12">
          <cell r="A12">
            <v>1410000</v>
          </cell>
          <cell r="C12">
            <v>12.4</v>
          </cell>
        </row>
        <row r="13">
          <cell r="A13">
            <v>1411000</v>
          </cell>
          <cell r="C13">
            <v>25.6</v>
          </cell>
        </row>
        <row r="14">
          <cell r="A14">
            <v>1412000</v>
          </cell>
          <cell r="C14">
            <v>11.2</v>
          </cell>
        </row>
        <row r="15">
          <cell r="A15">
            <v>1413000</v>
          </cell>
          <cell r="C15">
            <v>15.1</v>
          </cell>
        </row>
        <row r="16">
          <cell r="A16">
            <v>1414000</v>
          </cell>
          <cell r="C16">
            <v>13</v>
          </cell>
        </row>
        <row r="17">
          <cell r="A17">
            <v>1415000</v>
          </cell>
          <cell r="C17">
            <v>18.7</v>
          </cell>
        </row>
        <row r="18">
          <cell r="A18">
            <v>1416000</v>
          </cell>
          <cell r="C18">
            <v>18.2</v>
          </cell>
        </row>
        <row r="19">
          <cell r="A19">
            <v>1417000</v>
          </cell>
          <cell r="C19">
            <v>9.9</v>
          </cell>
        </row>
        <row r="20">
          <cell r="A20">
            <v>1418000</v>
          </cell>
          <cell r="C20">
            <v>8.1999999999999993</v>
          </cell>
        </row>
        <row r="21">
          <cell r="A21">
            <v>1419000</v>
          </cell>
          <cell r="C21">
            <v>21.1</v>
          </cell>
        </row>
        <row r="22">
          <cell r="A22">
            <v>1420000</v>
          </cell>
          <cell r="C22">
            <v>18.100000000000001</v>
          </cell>
        </row>
        <row r="23">
          <cell r="A23">
            <v>1421000</v>
          </cell>
          <cell r="C23">
            <v>8</v>
          </cell>
        </row>
        <row r="24">
          <cell r="A24">
            <v>1422000</v>
          </cell>
          <cell r="C24">
            <v>16.8</v>
          </cell>
        </row>
        <row r="25">
          <cell r="A25">
            <v>1423000</v>
          </cell>
          <cell r="C25">
            <v>27.8</v>
          </cell>
        </row>
        <row r="26">
          <cell r="A26">
            <v>1424000</v>
          </cell>
          <cell r="C26">
            <v>23.3</v>
          </cell>
        </row>
        <row r="27">
          <cell r="A27">
            <v>1425000</v>
          </cell>
          <cell r="C27">
            <v>30.3</v>
          </cell>
        </row>
        <row r="28">
          <cell r="A28">
            <v>1426000</v>
          </cell>
          <cell r="C28">
            <v>11.9</v>
          </cell>
        </row>
        <row r="29">
          <cell r="A29">
            <v>1427000</v>
          </cell>
          <cell r="C29">
            <v>25</v>
          </cell>
        </row>
        <row r="30">
          <cell r="A30">
            <v>1428000</v>
          </cell>
          <cell r="C30">
            <v>11.5</v>
          </cell>
        </row>
        <row r="31">
          <cell r="A31">
            <v>1429000</v>
          </cell>
          <cell r="C31">
            <v>11.6</v>
          </cell>
        </row>
        <row r="32">
          <cell r="A32">
            <v>1430000</v>
          </cell>
          <cell r="C32">
            <v>38</v>
          </cell>
        </row>
        <row r="33">
          <cell r="A33">
            <v>1432000</v>
          </cell>
          <cell r="C33">
            <v>6.6</v>
          </cell>
        </row>
        <row r="34">
          <cell r="A34">
            <v>1433000</v>
          </cell>
          <cell r="C34">
            <v>15.7</v>
          </cell>
        </row>
        <row r="35">
          <cell r="A35">
            <v>1434000</v>
          </cell>
          <cell r="C35">
            <v>15.7</v>
          </cell>
        </row>
        <row r="36">
          <cell r="A36">
            <v>1435000</v>
          </cell>
          <cell r="C36">
            <v>15.1</v>
          </cell>
        </row>
        <row r="37">
          <cell r="A37">
            <v>1436000</v>
          </cell>
          <cell r="C37">
            <v>21.9</v>
          </cell>
        </row>
        <row r="38">
          <cell r="A38">
            <v>1437000</v>
          </cell>
          <cell r="C38">
            <v>23.3</v>
          </cell>
        </row>
        <row r="39">
          <cell r="A39">
            <v>1438000</v>
          </cell>
          <cell r="C39">
            <v>15.3</v>
          </cell>
        </row>
        <row r="40">
          <cell r="A40">
            <v>1461000</v>
          </cell>
          <cell r="C40">
            <v>15.7</v>
          </cell>
        </row>
        <row r="41">
          <cell r="A41">
            <v>1462000</v>
          </cell>
          <cell r="C41">
            <v>12.8</v>
          </cell>
        </row>
        <row r="42">
          <cell r="A42">
            <v>1463000</v>
          </cell>
          <cell r="C42">
            <v>22.6</v>
          </cell>
        </row>
        <row r="43">
          <cell r="A43">
            <v>1464000</v>
          </cell>
          <cell r="C43">
            <v>11.5</v>
          </cell>
        </row>
        <row r="44">
          <cell r="A44">
            <v>1465000</v>
          </cell>
          <cell r="C44">
            <v>4.3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YNE_2276_CTAB_20231228114425"/>
    </sheetNames>
    <sheetDataSet>
      <sheetData sheetId="0" refreshError="1">
        <row r="2">
          <cell r="A2">
            <v>1400000</v>
          </cell>
          <cell r="C2">
            <v>11.87</v>
          </cell>
          <cell r="D2">
            <v>5.47</v>
          </cell>
        </row>
        <row r="3">
          <cell r="A3">
            <v>1401000</v>
          </cell>
          <cell r="C3">
            <v>0.02</v>
          </cell>
          <cell r="D3">
            <v>3.49</v>
          </cell>
        </row>
        <row r="4">
          <cell r="A4">
            <v>1402000</v>
          </cell>
          <cell r="C4">
            <v>0.13</v>
          </cell>
          <cell r="D4">
            <v>5.15</v>
          </cell>
        </row>
        <row r="5">
          <cell r="A5">
            <v>1403000</v>
          </cell>
          <cell r="C5">
            <v>0.09</v>
          </cell>
          <cell r="D5">
            <v>3.53</v>
          </cell>
        </row>
        <row r="6">
          <cell r="A6">
            <v>1404000</v>
          </cell>
          <cell r="C6">
            <v>7.0000000000000007E-2</v>
          </cell>
          <cell r="D6">
            <v>6.66</v>
          </cell>
        </row>
        <row r="7">
          <cell r="A7">
            <v>1405000</v>
          </cell>
          <cell r="C7">
            <v>0.13</v>
          </cell>
          <cell r="D7">
            <v>4.3</v>
          </cell>
        </row>
        <row r="8">
          <cell r="A8">
            <v>1406000</v>
          </cell>
          <cell r="C8">
            <v>0.1</v>
          </cell>
          <cell r="D8">
            <v>4.29</v>
          </cell>
        </row>
        <row r="9">
          <cell r="A9">
            <v>1407000</v>
          </cell>
          <cell r="C9">
            <v>0.08</v>
          </cell>
          <cell r="D9">
            <v>5.25</v>
          </cell>
        </row>
        <row r="10">
          <cell r="A10">
            <v>1408000</v>
          </cell>
          <cell r="C10">
            <v>0.09</v>
          </cell>
          <cell r="D10">
            <v>3.34</v>
          </cell>
        </row>
        <row r="11">
          <cell r="A11">
            <v>1409000</v>
          </cell>
          <cell r="C11">
            <v>0.01</v>
          </cell>
          <cell r="D11">
            <v>2.27</v>
          </cell>
        </row>
        <row r="12">
          <cell r="A12">
            <v>1410000</v>
          </cell>
          <cell r="C12">
            <v>0.04</v>
          </cell>
          <cell r="D12">
            <v>5.94</v>
          </cell>
        </row>
        <row r="13">
          <cell r="A13">
            <v>1411000</v>
          </cell>
          <cell r="C13">
            <v>0.06</v>
          </cell>
          <cell r="D13">
            <v>6.81</v>
          </cell>
        </row>
        <row r="14">
          <cell r="A14">
            <v>1412000</v>
          </cell>
          <cell r="C14">
            <v>0.22</v>
          </cell>
          <cell r="D14">
            <v>5.86</v>
          </cell>
        </row>
        <row r="15">
          <cell r="A15">
            <v>1413000</v>
          </cell>
          <cell r="C15">
            <v>0.13</v>
          </cell>
          <cell r="D15">
            <v>6.34</v>
          </cell>
        </row>
        <row r="16">
          <cell r="A16">
            <v>1414000</v>
          </cell>
          <cell r="C16">
            <v>0.12</v>
          </cell>
          <cell r="D16">
            <v>5.14</v>
          </cell>
        </row>
        <row r="17">
          <cell r="A17">
            <v>1415000</v>
          </cell>
          <cell r="C17">
            <v>7.0000000000000007E-2</v>
          </cell>
          <cell r="D17">
            <v>6.28</v>
          </cell>
        </row>
        <row r="18">
          <cell r="A18">
            <v>1416000</v>
          </cell>
          <cell r="C18">
            <v>7.0000000000000007E-2</v>
          </cell>
          <cell r="D18">
            <v>4.63</v>
          </cell>
        </row>
        <row r="19">
          <cell r="A19">
            <v>1417000</v>
          </cell>
          <cell r="C19">
            <v>0.18</v>
          </cell>
          <cell r="D19">
            <v>4.59</v>
          </cell>
        </row>
        <row r="20">
          <cell r="A20">
            <v>1418000</v>
          </cell>
          <cell r="C20">
            <v>0.34</v>
          </cell>
          <cell r="D20">
            <v>5.13</v>
          </cell>
        </row>
        <row r="21">
          <cell r="A21">
            <v>1419000</v>
          </cell>
          <cell r="C21">
            <v>0.14000000000000001</v>
          </cell>
          <cell r="D21">
            <v>8.27</v>
          </cell>
        </row>
        <row r="22">
          <cell r="A22">
            <v>1420000</v>
          </cell>
          <cell r="C22">
            <v>0.09</v>
          </cell>
          <cell r="D22">
            <v>5.0599999999999996</v>
          </cell>
        </row>
        <row r="23">
          <cell r="A23">
            <v>1421000</v>
          </cell>
          <cell r="C23">
            <v>0.37</v>
          </cell>
          <cell r="D23">
            <v>6.04</v>
          </cell>
        </row>
        <row r="24">
          <cell r="A24">
            <v>1422000</v>
          </cell>
          <cell r="C24">
            <v>0.04</v>
          </cell>
          <cell r="D24">
            <v>3.82</v>
          </cell>
        </row>
        <row r="25">
          <cell r="A25">
            <v>1423000</v>
          </cell>
          <cell r="C25">
            <v>0.01</v>
          </cell>
          <cell r="D25">
            <v>1.92</v>
          </cell>
        </row>
        <row r="26">
          <cell r="A26">
            <v>1424000</v>
          </cell>
          <cell r="C26">
            <v>0.05</v>
          </cell>
          <cell r="D26">
            <v>5.08</v>
          </cell>
        </row>
        <row r="27">
          <cell r="A27">
            <v>1425000</v>
          </cell>
          <cell r="C27">
            <v>0.1</v>
          </cell>
          <cell r="D27">
            <v>4.0599999999999996</v>
          </cell>
        </row>
        <row r="28">
          <cell r="A28">
            <v>1426000</v>
          </cell>
          <cell r="C28">
            <v>7.0000000000000007E-2</v>
          </cell>
          <cell r="D28">
            <v>5.05</v>
          </cell>
        </row>
        <row r="29">
          <cell r="A29">
            <v>1427000</v>
          </cell>
          <cell r="C29">
            <v>7.0000000000000007E-2</v>
          </cell>
          <cell r="D29">
            <v>7.04</v>
          </cell>
        </row>
        <row r="30">
          <cell r="A30">
            <v>1428000</v>
          </cell>
          <cell r="C30">
            <v>0.2</v>
          </cell>
          <cell r="D30">
            <v>7.76</v>
          </cell>
        </row>
        <row r="31">
          <cell r="A31">
            <v>1429000</v>
          </cell>
          <cell r="C31">
            <v>0.24</v>
          </cell>
          <cell r="D31">
            <v>16.690000000000001</v>
          </cell>
        </row>
        <row r="32">
          <cell r="A32">
            <v>1430000</v>
          </cell>
          <cell r="C32">
            <v>0.04</v>
          </cell>
          <cell r="D32">
            <v>5.78</v>
          </cell>
        </row>
        <row r="33">
          <cell r="A33">
            <v>1432000</v>
          </cell>
          <cell r="C33">
            <v>0.26</v>
          </cell>
          <cell r="D33">
            <v>5.49</v>
          </cell>
        </row>
        <row r="34">
          <cell r="A34">
            <v>1433000</v>
          </cell>
          <cell r="C34">
            <v>0.1</v>
          </cell>
          <cell r="D34">
            <v>7.75</v>
          </cell>
        </row>
        <row r="35">
          <cell r="A35">
            <v>1434000</v>
          </cell>
          <cell r="C35">
            <v>0.25</v>
          </cell>
          <cell r="D35">
            <v>4.0199999999999996</v>
          </cell>
        </row>
        <row r="36">
          <cell r="A36">
            <v>1435000</v>
          </cell>
          <cell r="C36">
            <v>0.09</v>
          </cell>
          <cell r="D36">
            <v>4.82</v>
          </cell>
        </row>
        <row r="37">
          <cell r="A37">
            <v>1436000</v>
          </cell>
          <cell r="C37">
            <v>0.01</v>
          </cell>
          <cell r="D37">
            <v>2.12</v>
          </cell>
        </row>
        <row r="38">
          <cell r="A38">
            <v>1437000</v>
          </cell>
          <cell r="C38">
            <v>0.03</v>
          </cell>
          <cell r="D38">
            <v>4.18</v>
          </cell>
        </row>
        <row r="39">
          <cell r="A39">
            <v>1438000</v>
          </cell>
          <cell r="C39">
            <v>7.0000000000000007E-2</v>
          </cell>
          <cell r="D39">
            <v>3.58</v>
          </cell>
        </row>
        <row r="40">
          <cell r="A40">
            <v>1461000</v>
          </cell>
          <cell r="C40">
            <v>0.21</v>
          </cell>
          <cell r="D40">
            <v>9.16</v>
          </cell>
        </row>
        <row r="41">
          <cell r="A41">
            <v>1462000</v>
          </cell>
          <cell r="C41">
            <v>0.54</v>
          </cell>
          <cell r="D41">
            <v>8.69</v>
          </cell>
        </row>
        <row r="42">
          <cell r="A42">
            <v>1463000</v>
          </cell>
          <cell r="C42">
            <v>0.39</v>
          </cell>
          <cell r="D42">
            <v>5.07</v>
          </cell>
        </row>
        <row r="43">
          <cell r="A43">
            <v>1464000</v>
          </cell>
          <cell r="C43">
            <v>0.28000000000000003</v>
          </cell>
          <cell r="D43">
            <v>8.02</v>
          </cell>
        </row>
        <row r="44">
          <cell r="A44">
            <v>1465000</v>
          </cell>
          <cell r="C44">
            <v>6.26</v>
          </cell>
          <cell r="D44">
            <v>5.29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ZKO_3226_CTAB_20231228114632"/>
    </sheetNames>
    <sheetDataSet>
      <sheetData sheetId="0" refreshError="1">
        <row r="2">
          <cell r="A2">
            <v>1400000</v>
          </cell>
          <cell r="C2">
            <v>312033</v>
          </cell>
          <cell r="D2">
            <v>179577</v>
          </cell>
          <cell r="E2">
            <v>132456</v>
          </cell>
          <cell r="F2">
            <v>85053</v>
          </cell>
          <cell r="G2">
            <v>54399</v>
          </cell>
          <cell r="H2">
            <v>30654</v>
          </cell>
        </row>
        <row r="3">
          <cell r="A3">
            <v>1402000</v>
          </cell>
          <cell r="C3">
            <v>1955</v>
          </cell>
          <cell r="D3">
            <v>1041</v>
          </cell>
          <cell r="E3">
            <v>914</v>
          </cell>
          <cell r="F3">
            <v>714</v>
          </cell>
          <cell r="G3">
            <v>461</v>
          </cell>
          <cell r="H3">
            <v>253</v>
          </cell>
        </row>
        <row r="4">
          <cell r="A4">
            <v>1403000</v>
          </cell>
          <cell r="C4">
            <v>191</v>
          </cell>
          <cell r="D4">
            <v>112</v>
          </cell>
          <cell r="E4">
            <v>79</v>
          </cell>
          <cell r="F4">
            <v>89</v>
          </cell>
          <cell r="G4">
            <v>61</v>
          </cell>
          <cell r="H4">
            <v>28</v>
          </cell>
        </row>
        <row r="5">
          <cell r="A5">
            <v>1405000</v>
          </cell>
          <cell r="C5">
            <v>978</v>
          </cell>
          <cell r="D5">
            <v>671</v>
          </cell>
          <cell r="E5">
            <v>307</v>
          </cell>
          <cell r="F5">
            <v>427</v>
          </cell>
          <cell r="G5">
            <v>247</v>
          </cell>
          <cell r="H5">
            <v>180</v>
          </cell>
        </row>
        <row r="6">
          <cell r="A6">
            <v>1406000</v>
          </cell>
          <cell r="C6">
            <v>60</v>
          </cell>
          <cell r="D6">
            <v>1</v>
          </cell>
          <cell r="E6">
            <v>59</v>
          </cell>
          <cell r="F6">
            <v>20</v>
          </cell>
          <cell r="G6">
            <v>6</v>
          </cell>
          <cell r="H6">
            <v>14</v>
          </cell>
        </row>
        <row r="7">
          <cell r="A7">
            <v>1412000</v>
          </cell>
          <cell r="C7">
            <v>303</v>
          </cell>
          <cell r="D7">
            <v>215</v>
          </cell>
          <cell r="E7">
            <v>88</v>
          </cell>
          <cell r="F7">
            <v>99</v>
          </cell>
          <cell r="G7">
            <v>76</v>
          </cell>
          <cell r="H7">
            <v>23</v>
          </cell>
        </row>
        <row r="8">
          <cell r="A8">
            <v>1413000</v>
          </cell>
          <cell r="C8">
            <v>213</v>
          </cell>
          <cell r="D8">
            <v>44</v>
          </cell>
          <cell r="E8">
            <v>169</v>
          </cell>
          <cell r="F8">
            <v>60</v>
          </cell>
          <cell r="G8">
            <v>24</v>
          </cell>
          <cell r="H8">
            <v>36</v>
          </cell>
        </row>
        <row r="9">
          <cell r="A9">
            <v>1416000</v>
          </cell>
          <cell r="C9">
            <v>103</v>
          </cell>
          <cell r="D9">
            <v>62</v>
          </cell>
          <cell r="E9">
            <v>41</v>
          </cell>
          <cell r="F9">
            <v>37</v>
          </cell>
          <cell r="G9">
            <v>29</v>
          </cell>
          <cell r="H9">
            <v>8</v>
          </cell>
        </row>
        <row r="10">
          <cell r="A10">
            <v>1417000</v>
          </cell>
          <cell r="C10">
            <v>2053</v>
          </cell>
          <cell r="D10">
            <v>1319</v>
          </cell>
          <cell r="E10">
            <v>734</v>
          </cell>
          <cell r="F10">
            <v>403</v>
          </cell>
          <cell r="G10">
            <v>276</v>
          </cell>
          <cell r="H10">
            <v>127</v>
          </cell>
        </row>
        <row r="11">
          <cell r="A11">
            <v>1420000</v>
          </cell>
          <cell r="C11">
            <v>338</v>
          </cell>
          <cell r="D11">
            <v>233</v>
          </cell>
          <cell r="E11">
            <v>105</v>
          </cell>
          <cell r="F11">
            <v>129</v>
          </cell>
          <cell r="G11">
            <v>93</v>
          </cell>
          <cell r="H11">
            <v>36</v>
          </cell>
        </row>
        <row r="12">
          <cell r="A12">
            <v>1421000</v>
          </cell>
          <cell r="C12">
            <v>580</v>
          </cell>
          <cell r="D12">
            <v>175</v>
          </cell>
          <cell r="E12">
            <v>405</v>
          </cell>
          <cell r="F12">
            <v>164</v>
          </cell>
          <cell r="G12">
            <v>51</v>
          </cell>
          <cell r="H12">
            <v>113</v>
          </cell>
        </row>
        <row r="13">
          <cell r="A13">
            <v>1422000</v>
          </cell>
          <cell r="C13">
            <v>72</v>
          </cell>
          <cell r="D13">
            <v>60</v>
          </cell>
          <cell r="E13">
            <v>12</v>
          </cell>
          <cell r="F13">
            <v>25</v>
          </cell>
          <cell r="G13">
            <v>21</v>
          </cell>
          <cell r="H13">
            <v>4</v>
          </cell>
        </row>
        <row r="14">
          <cell r="A14">
            <v>1424000</v>
          </cell>
          <cell r="C14">
            <v>2205</v>
          </cell>
          <cell r="D14">
            <v>1555</v>
          </cell>
          <cell r="E14">
            <v>650</v>
          </cell>
          <cell r="F14">
            <v>1227</v>
          </cell>
          <cell r="G14">
            <v>888</v>
          </cell>
          <cell r="H14">
            <v>339</v>
          </cell>
        </row>
        <row r="15">
          <cell r="A15">
            <v>1426000</v>
          </cell>
          <cell r="C15">
            <v>53</v>
          </cell>
          <cell r="D15">
            <v>0</v>
          </cell>
          <cell r="E15">
            <v>53</v>
          </cell>
          <cell r="F15">
            <v>10</v>
          </cell>
          <cell r="G15">
            <v>0</v>
          </cell>
          <cell r="H15">
            <v>10</v>
          </cell>
        </row>
        <row r="16">
          <cell r="A16">
            <v>1428000</v>
          </cell>
          <cell r="C16">
            <v>382</v>
          </cell>
          <cell r="D16">
            <v>190</v>
          </cell>
          <cell r="E16">
            <v>192</v>
          </cell>
          <cell r="F16">
            <v>99</v>
          </cell>
          <cell r="G16">
            <v>59</v>
          </cell>
          <cell r="H16">
            <v>40</v>
          </cell>
        </row>
        <row r="17">
          <cell r="A17">
            <v>1433000</v>
          </cell>
          <cell r="C17">
            <v>72</v>
          </cell>
          <cell r="D17">
            <v>56</v>
          </cell>
          <cell r="E17">
            <v>16</v>
          </cell>
          <cell r="F17">
            <v>55</v>
          </cell>
          <cell r="G17">
            <v>48</v>
          </cell>
          <cell r="H17">
            <v>7</v>
          </cell>
        </row>
        <row r="18">
          <cell r="A18">
            <v>1434000</v>
          </cell>
          <cell r="C18">
            <v>104</v>
          </cell>
          <cell r="D18">
            <v>84</v>
          </cell>
          <cell r="E18">
            <v>20</v>
          </cell>
          <cell r="F18">
            <v>45</v>
          </cell>
          <cell r="G18">
            <v>38</v>
          </cell>
          <cell r="H18">
            <v>7</v>
          </cell>
        </row>
        <row r="19">
          <cell r="A19">
            <v>1435000</v>
          </cell>
          <cell r="C19">
            <v>527</v>
          </cell>
          <cell r="D19">
            <v>414</v>
          </cell>
          <cell r="E19">
            <v>113</v>
          </cell>
          <cell r="F19">
            <v>331</v>
          </cell>
          <cell r="G19">
            <v>300</v>
          </cell>
          <cell r="H19">
            <v>31</v>
          </cell>
        </row>
        <row r="20">
          <cell r="A20">
            <v>1438000</v>
          </cell>
          <cell r="C20">
            <v>793</v>
          </cell>
          <cell r="D20">
            <v>507</v>
          </cell>
          <cell r="E20">
            <v>286</v>
          </cell>
          <cell r="F20">
            <v>192</v>
          </cell>
          <cell r="G20">
            <v>182</v>
          </cell>
          <cell r="H20">
            <v>10</v>
          </cell>
        </row>
        <row r="21">
          <cell r="A21">
            <v>1461000</v>
          </cell>
          <cell r="C21">
            <v>885</v>
          </cell>
          <cell r="D21">
            <v>557</v>
          </cell>
          <cell r="E21">
            <v>328</v>
          </cell>
          <cell r="F21">
            <v>435</v>
          </cell>
          <cell r="G21">
            <v>272</v>
          </cell>
          <cell r="H21">
            <v>163</v>
          </cell>
        </row>
        <row r="22">
          <cell r="A22">
            <v>1462000</v>
          </cell>
          <cell r="C22">
            <v>7943</v>
          </cell>
          <cell r="D22">
            <v>4485</v>
          </cell>
          <cell r="E22">
            <v>3458</v>
          </cell>
          <cell r="F22">
            <v>2609</v>
          </cell>
          <cell r="G22">
            <v>1626</v>
          </cell>
          <cell r="H22">
            <v>983</v>
          </cell>
        </row>
        <row r="23">
          <cell r="A23">
            <v>1463000</v>
          </cell>
          <cell r="C23">
            <v>13257</v>
          </cell>
          <cell r="D23">
            <v>7176</v>
          </cell>
          <cell r="E23">
            <v>6081</v>
          </cell>
          <cell r="F23">
            <v>4144</v>
          </cell>
          <cell r="G23">
            <v>2452</v>
          </cell>
          <cell r="H23">
            <v>1692</v>
          </cell>
        </row>
        <row r="24">
          <cell r="A24">
            <v>1464000</v>
          </cell>
          <cell r="C24">
            <v>10411</v>
          </cell>
          <cell r="D24">
            <v>6608</v>
          </cell>
          <cell r="E24">
            <v>3803</v>
          </cell>
          <cell r="F24">
            <v>4467</v>
          </cell>
          <cell r="G24">
            <v>3130</v>
          </cell>
          <cell r="H24">
            <v>1337</v>
          </cell>
        </row>
        <row r="25">
          <cell r="A25">
            <v>1465000</v>
          </cell>
          <cell r="C25">
            <v>268555</v>
          </cell>
          <cell r="D25">
            <v>154012</v>
          </cell>
          <cell r="E25">
            <v>114543</v>
          </cell>
          <cell r="F25">
            <v>69272</v>
          </cell>
          <cell r="G25">
            <v>44059</v>
          </cell>
          <cell r="H25">
            <v>25213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YNA_2497_CTAB_20231228114756"/>
    </sheetNames>
    <sheetDataSet>
      <sheetData sheetId="0" refreshError="1">
        <row r="2">
          <cell r="A2">
            <v>1400000</v>
          </cell>
          <cell r="C2">
            <v>4637.58</v>
          </cell>
          <cell r="D2">
            <v>123.9</v>
          </cell>
        </row>
        <row r="3">
          <cell r="A3">
            <v>1401000</v>
          </cell>
          <cell r="C3">
            <v>3355.88</v>
          </cell>
          <cell r="D3">
            <v>89.6</v>
          </cell>
        </row>
        <row r="4">
          <cell r="A4">
            <v>1402000</v>
          </cell>
          <cell r="C4">
            <v>3385.81</v>
          </cell>
          <cell r="D4">
            <v>90.4</v>
          </cell>
        </row>
        <row r="5">
          <cell r="A5">
            <v>1403000</v>
          </cell>
          <cell r="C5">
            <v>3277.05</v>
          </cell>
          <cell r="D5">
            <v>87.5</v>
          </cell>
        </row>
        <row r="6">
          <cell r="A6">
            <v>1404000</v>
          </cell>
          <cell r="C6">
            <v>2925.45</v>
          </cell>
          <cell r="D6">
            <v>78.099999999999994</v>
          </cell>
        </row>
        <row r="7">
          <cell r="A7">
            <v>1405000</v>
          </cell>
          <cell r="C7">
            <v>3854.84</v>
          </cell>
          <cell r="D7">
            <v>103</v>
          </cell>
        </row>
        <row r="8">
          <cell r="A8">
            <v>1406000</v>
          </cell>
          <cell r="C8">
            <v>3589.76</v>
          </cell>
          <cell r="D8">
            <v>95.9</v>
          </cell>
        </row>
        <row r="9">
          <cell r="A9">
            <v>1407000</v>
          </cell>
          <cell r="C9">
            <v>4239.66</v>
          </cell>
          <cell r="D9">
            <v>113.2</v>
          </cell>
        </row>
        <row r="10">
          <cell r="A10">
            <v>1408000</v>
          </cell>
          <cell r="C10">
            <v>3600.74</v>
          </cell>
          <cell r="D10">
            <v>96.2</v>
          </cell>
        </row>
        <row r="11">
          <cell r="A11">
            <v>1409000</v>
          </cell>
          <cell r="C11">
            <v>3098.37</v>
          </cell>
          <cell r="D11">
            <v>82.7</v>
          </cell>
        </row>
        <row r="12">
          <cell r="A12">
            <v>1410000</v>
          </cell>
          <cell r="C12">
            <v>3025.24</v>
          </cell>
          <cell r="D12">
            <v>80.8</v>
          </cell>
        </row>
        <row r="13">
          <cell r="A13">
            <v>1411000</v>
          </cell>
          <cell r="C13">
            <v>3010.45</v>
          </cell>
          <cell r="D13">
            <v>80.400000000000006</v>
          </cell>
        </row>
        <row r="14">
          <cell r="A14">
            <v>1412000</v>
          </cell>
          <cell r="C14">
            <v>3136.52</v>
          </cell>
          <cell r="D14">
            <v>83.8</v>
          </cell>
        </row>
        <row r="15">
          <cell r="A15">
            <v>1413000</v>
          </cell>
          <cell r="C15">
            <v>2670.07</v>
          </cell>
          <cell r="D15">
            <v>71.3</v>
          </cell>
        </row>
        <row r="16">
          <cell r="A16">
            <v>1414000</v>
          </cell>
          <cell r="C16">
            <v>4145.3500000000004</v>
          </cell>
          <cell r="D16">
            <v>110.7</v>
          </cell>
        </row>
        <row r="17">
          <cell r="A17">
            <v>1415000</v>
          </cell>
          <cell r="C17">
            <v>3213.82</v>
          </cell>
          <cell r="D17">
            <v>85.8</v>
          </cell>
        </row>
        <row r="18">
          <cell r="A18">
            <v>1416000</v>
          </cell>
          <cell r="C18">
            <v>3174.79</v>
          </cell>
          <cell r="D18">
            <v>84.8</v>
          </cell>
        </row>
        <row r="19">
          <cell r="A19">
            <v>1417000</v>
          </cell>
          <cell r="C19">
            <v>3490.03</v>
          </cell>
          <cell r="D19">
            <v>93.2</v>
          </cell>
        </row>
        <row r="20">
          <cell r="A20">
            <v>1418000</v>
          </cell>
          <cell r="C20">
            <v>3810.36</v>
          </cell>
          <cell r="D20">
            <v>101.8</v>
          </cell>
        </row>
        <row r="21">
          <cell r="A21">
            <v>1419000</v>
          </cell>
          <cell r="C21">
            <v>3223.08</v>
          </cell>
          <cell r="D21">
            <v>86.1</v>
          </cell>
        </row>
        <row r="22">
          <cell r="A22">
            <v>1420000</v>
          </cell>
          <cell r="C22">
            <v>3261.65</v>
          </cell>
          <cell r="D22">
            <v>87.1</v>
          </cell>
        </row>
        <row r="23">
          <cell r="A23">
            <v>1421000</v>
          </cell>
          <cell r="C23">
            <v>4402.16</v>
          </cell>
          <cell r="D23">
            <v>117.6</v>
          </cell>
        </row>
        <row r="24">
          <cell r="A24">
            <v>1422000</v>
          </cell>
          <cell r="C24">
            <v>3203.61</v>
          </cell>
          <cell r="D24">
            <v>85.6</v>
          </cell>
        </row>
        <row r="25">
          <cell r="A25">
            <v>1423000</v>
          </cell>
          <cell r="C25">
            <v>3062.87</v>
          </cell>
          <cell r="D25">
            <v>81.8</v>
          </cell>
        </row>
        <row r="26">
          <cell r="A26">
            <v>1424000</v>
          </cell>
          <cell r="C26">
            <v>3094.05</v>
          </cell>
          <cell r="D26">
            <v>82.6</v>
          </cell>
        </row>
        <row r="27">
          <cell r="A27">
            <v>1425000</v>
          </cell>
          <cell r="C27">
            <v>2857.68</v>
          </cell>
          <cell r="D27">
            <v>76.3</v>
          </cell>
        </row>
        <row r="28">
          <cell r="A28">
            <v>1426000</v>
          </cell>
          <cell r="C28">
            <v>3014.41</v>
          </cell>
          <cell r="D28">
            <v>80.5</v>
          </cell>
        </row>
        <row r="29">
          <cell r="A29">
            <v>1427000</v>
          </cell>
          <cell r="C29">
            <v>3043.46</v>
          </cell>
          <cell r="D29">
            <v>81.3</v>
          </cell>
        </row>
        <row r="30">
          <cell r="A30">
            <v>1428000</v>
          </cell>
          <cell r="C30">
            <v>3740.62</v>
          </cell>
          <cell r="D30">
            <v>99.9</v>
          </cell>
        </row>
        <row r="31">
          <cell r="A31">
            <v>1429000</v>
          </cell>
          <cell r="C31">
            <v>2974.75</v>
          </cell>
          <cell r="D31">
            <v>79.400000000000006</v>
          </cell>
        </row>
        <row r="32">
          <cell r="A32">
            <v>1430000</v>
          </cell>
          <cell r="C32">
            <v>2949.78</v>
          </cell>
          <cell r="D32">
            <v>78.8</v>
          </cell>
        </row>
        <row r="33">
          <cell r="A33">
            <v>1432000</v>
          </cell>
          <cell r="C33">
            <v>4050.54</v>
          </cell>
          <cell r="D33">
            <v>108.2</v>
          </cell>
        </row>
        <row r="34">
          <cell r="A34">
            <v>1433000</v>
          </cell>
          <cell r="C34">
            <v>2970.76</v>
          </cell>
          <cell r="D34">
            <v>79.3</v>
          </cell>
        </row>
        <row r="35">
          <cell r="A35">
            <v>1434000</v>
          </cell>
          <cell r="C35">
            <v>3447.14</v>
          </cell>
          <cell r="D35">
            <v>92.1</v>
          </cell>
        </row>
        <row r="36">
          <cell r="A36">
            <v>1435000</v>
          </cell>
          <cell r="C36">
            <v>3119.46</v>
          </cell>
          <cell r="D36">
            <v>83.3</v>
          </cell>
        </row>
        <row r="37">
          <cell r="A37">
            <v>1436000</v>
          </cell>
          <cell r="C37">
            <v>3114.68</v>
          </cell>
          <cell r="D37">
            <v>83.2</v>
          </cell>
        </row>
        <row r="38">
          <cell r="A38">
            <v>1437000</v>
          </cell>
          <cell r="C38">
            <v>2923.14</v>
          </cell>
          <cell r="D38">
            <v>78.099999999999994</v>
          </cell>
        </row>
        <row r="39">
          <cell r="A39">
            <v>1438000</v>
          </cell>
          <cell r="C39">
            <v>3541.83</v>
          </cell>
          <cell r="D39">
            <v>94.6</v>
          </cell>
        </row>
        <row r="40">
          <cell r="A40">
            <v>1461000</v>
          </cell>
          <cell r="C40">
            <v>3776.11</v>
          </cell>
          <cell r="D40">
            <v>100.8</v>
          </cell>
        </row>
        <row r="41">
          <cell r="A41">
            <v>1462000</v>
          </cell>
          <cell r="C41">
            <v>4618.2</v>
          </cell>
          <cell r="D41">
            <v>123.3</v>
          </cell>
        </row>
        <row r="42">
          <cell r="A42">
            <v>1463000</v>
          </cell>
          <cell r="C42">
            <v>3411.51</v>
          </cell>
          <cell r="D42">
            <v>91.1</v>
          </cell>
        </row>
        <row r="43">
          <cell r="A43">
            <v>1464000</v>
          </cell>
          <cell r="C43">
            <v>3470.66</v>
          </cell>
          <cell r="D43">
            <v>92.7</v>
          </cell>
        </row>
        <row r="44">
          <cell r="A44">
            <v>1465000</v>
          </cell>
          <cell r="C44">
            <v>5077.53</v>
          </cell>
          <cell r="D44">
            <v>135.6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2" c="11">
    <v t="s">Kod</v>
    <v t="s">Nazwa</v>
    <v t="s">ogĂłĹ‚em;2012;[zĹ‚]</v>
    <v t="s">ogĂłĹ‚em;2012;[zĹ‚]</v>
    <v t="s">dochody razem;2012;[zĹ‚]</v>
    <v t="s">...</v>
    <v t="s">absolwenci ogĂłĹ‚em;2012;[osoba]</v>
    <v t="s">absolwenci kobiety;2012;[osoba]</v>
    <v t="s">absolwenci mÄ™ĹĽczyĹşni;2012;[osoba]</v>
    <v t="s">ogĂłĹ‚em;2012;[zĹ‚]</v>
    <v t="s">przeciÄ™tne miesiÄ™czne wynagrodzenia brutto w relacji do Ĺ›redniej krajowej (Polska=100);2012;[%]</v>
    <v>1400000</v>
    <v t="s">MAZOWIECKIE</v>
    <v>866.61</v>
    <v>859.19</v>
    <v>117092646.31</v>
    <v t="s">...</v>
    <v>85053</v>
    <v>54399</v>
    <v>30654</v>
    <v>4637.58</v>
    <v>123.9</v>
    <v>1401000</v>
    <v t="s">Powiat biaĹ‚obrzeski</v>
    <v>1006.68</v>
    <v>970.87</v>
    <v>5996403.5499999998</v>
    <v t="s">...</v>
    <v t="s">--</v>
    <v t="s">--</v>
    <v t="s">--</v>
    <v>3355.88</v>
    <v>89.6</v>
    <v>1402000</v>
    <v t="s">Powiat ciechanowski</v>
    <v>929.16</v>
    <v>937.63</v>
    <v>4047298.15</v>
    <v t="s">...</v>
    <v>714</v>
    <v>461</v>
    <v>253</v>
    <v>3385.81</v>
    <v>90.4</v>
    <v>1403000</v>
    <v t="s">Powiat garwoliĹ„ski</v>
    <v>929.12</v>
    <v>889.09</v>
    <v>3796152.58</v>
    <v t="s">...</v>
    <v>89</v>
    <v>61</v>
    <v>28</v>
    <v>3277.05</v>
    <v>87.5</v>
    <v>1404000</v>
    <v t="s">Powiat gostyniĹ„ski</v>
    <v>992.63</v>
    <v>1016.06</v>
    <v>1309764.5900000001</v>
    <v t="s">...</v>
    <v t="s">--</v>
    <v t="s">--</v>
    <v t="s">--</v>
    <v>2925.45</v>
    <v>78.099999999999994</v>
    <v t="s">...</v>
    <v t="s">...</v>
    <v t="s">...</v>
    <v t="s">...</v>
    <v t="s">...</v>
    <v t="s">...</v>
    <v t="s">...</v>
    <v t="s">...</v>
    <v t="s">...</v>
    <v t="s">...</v>
    <v t="s">...</v>
    <v>1461000</v>
    <v t="s">Powiat m. OstroĹ‚Ä™ka</v>
    <v t="s">--</v>
    <v t="s">--</v>
    <v t="s">--</v>
    <v t="s">...</v>
    <v>435</v>
    <v>272</v>
    <v>163</v>
    <v>3776.11</v>
    <v>100.8</v>
    <v>1462000</v>
    <v t="s">Powiat m. PĹ‚ock</v>
    <v t="s">--</v>
    <v t="s">--</v>
    <v t="s">--</v>
    <v t="s">...</v>
    <v>2609</v>
    <v>1626</v>
    <v>983</v>
    <v>4618.2</v>
    <v>123.3</v>
    <v>1463000</v>
    <v t="s">Powiat m. Radom</v>
    <v t="s">--</v>
    <v t="s">--</v>
    <v t="s">--</v>
    <v t="s">...</v>
    <v>4144</v>
    <v>2452</v>
    <v>1692</v>
    <v>3411.51</v>
    <v>91.1</v>
    <v>1464000</v>
    <v t="s">Powiat m. Siedlce</v>
    <v t="s">--</v>
    <v t="s">--</v>
    <v t="s">--</v>
    <v t="s">...</v>
    <v>4467</v>
    <v>3130</v>
    <v>1337</v>
    <v>3470.66</v>
    <v>92.7</v>
    <v>1465000</v>
    <v t="s">Powiat m. st. Warszawa</v>
    <v t="s">--</v>
    <v t="s">--</v>
    <v t="s">--</v>
    <v t="s">...</v>
    <v>69272</v>
    <v>44059</v>
    <v>25213</v>
    <v>5077.53</v>
    <v>135.6</v>
  </a>
  <a r="9" c="12">
    <v t="s"/>
    <v t="s">Kod</v>
    <v t="s">nakĹ‚ady inwestycyjne w przedsiÄ™biorstwach na 1 mieszkaĹ„ca;2012;[zĹ‚]</v>
    <v t="s">wartoĹ›Ä‡ brutto Ĺ›rodkĂłw trwaĹ‚ych w przedsiÄ™biorstwach na 1 mieszkaĹ„ca;2012;[zĹ‚]</v>
    <v t="s">liczba ludnoĹ›ci na 1 miejsce w kinach staĹ‚ych;2012;[osoba]</v>
    <v t="s">ludnoĹ›Ä‡ na 1 placĂłwkÄ™ bibliotecznÄ… (Ĺ‚Ä…cznie z punktami bibliotecznymi ujÄ™tymi zgodnie z siedzibÄ… jednostki macierzystej);2012;[osoba]</v>
    <v t="s">...</v>
    <v t="s">ogĂłĹ‚em;2012;[%]</v>
    <v t="s">udziaĹ‚ wypadkĂłw w ogĂłĹ‚em (Polska=100);2012;[%]</v>
    <v t="s">poszkodowani w wypadkach przy pracy na 1000 pracujÄ…cych ogĂłĹ‚em;2012;[osoba]</v>
    <v t="s">ogĂłĹ‚em;2012;[zĹ‚]</v>
    <v t="s">przeciÄ™tne miesiÄ™czne wynagrodzenia brutto w relacji do Ĺ›redniej krajowej (Polska=100);2012;[%]</v>
    <v t="s">count</v>
    <v>43</v>
    <v>43</v>
    <v>43</v>
    <v>43</v>
    <v>43</v>
    <v t="s">...</v>
    <v>43</v>
    <v>43</v>
    <v>43</v>
    <v>43</v>
    <v>43</v>
    <v t="s">mean</v>
    <v>1423837.2093023255</v>
    <v>2890.4186046511627</v>
    <v>33564.139534883718</v>
    <v>294.06976744186045</v>
    <v>4541.7674418604647</v>
    <v t="s">...</v>
    <v>16.420930232558138</v>
    <v>0.55186046511627918</v>
    <v>5.5634883720930235</v>
    <v>3441.6616279069772</v>
    <v>91.916279069767427</v>
    <v t="s">std</v>
    <v>17915.051177522346</v>
    <v>2920.0629089159329</v>
    <v>38705.90546832516</v>
    <v>441.56762925636599</v>
    <v>2158.765926537983</v>
    <v t="s">...</v>
    <v>6.8350831025545071</v>
    <v>2.0018530175504807</v>
    <v>2.4212815218794583</v>
    <v>541.65819305136301</v>
    <v>14.47037910834797</v>
    <v t="s">min</v>
    <v>1400000</v>
    <v>411</v>
    <v>5100</v>
    <v>0</v>
    <v>2129</v>
    <v t="s">...</v>
    <v>4.3</v>
    <v>0.01</v>
    <v>1.92</v>
    <v>2670.07</v>
    <v>71.3</v>
    <v t="s">25%</v>
    <v>1410500</v>
    <v>1097.5</v>
    <v>9428</v>
    <v>63</v>
    <v>2976</v>
    <v t="s">...</v>
    <v>11.55</v>
    <v>7.0000000000000007E-2</v>
    <v>4.2349999999999994</v>
    <v>3053.165</v>
    <v>81.55</v>
    <v t="s">50%</v>
    <v>1421000</v>
    <v>1877</v>
    <v>20404</v>
    <v>180</v>
    <v>3745</v>
    <v t="s">...</v>
    <v>15.7</v>
    <v>0.1</v>
    <v>5.14</v>
    <v>3261.65</v>
    <v>87.1</v>
    <v t="s">75%</v>
    <v>1432500</v>
    <v>3615.5</v>
    <v>32324.5</v>
    <v>336.5</v>
    <v>5838</v>
    <v t="s">...</v>
    <v>20.100000000000001</v>
    <v>0.215</v>
    <v>6.3100000000000005</v>
    <v>3670.68</v>
    <v>98.050000000000011</v>
    <v t="s">max</v>
    <v>1465000</v>
    <v>15856</v>
    <v>176153</v>
    <v>2198</v>
    <v>12924</v>
    <v t="s">...</v>
    <v>38</v>
    <v>11.87</v>
    <v>16.690000000000001</v>
    <v>5077.53</v>
    <v>135.6</v>
  </a>
  <a r="2">
    <v>520</v>
    <v>435</v>
  </a>
</arrayData>
</file>

<file path=xl/richData/rdrichvalue.xml><?xml version="1.0" encoding="utf-8"?>
<rvData xmlns="http://schemas.microsoft.com/office/spreadsheetml/2017/richdata" count="13">
  <rv s="0">
    <v>0</v>
  </rv>
  <rv s="1">
    <v>DataFrame</v>
    <v>1</v>
    <v>0</v>
  </rv>
  <rv s="2">
    <v>&lt;class 'pandas.core.frame.DataFrame'&gt;</v>
    <v>DataFrame</v>
    <v xml:space="preserve">        Kod                       Nazwa  ogĂłĹ‚em;2012;[zĹ‚]  \
0   1400000                 MAZOWIECKIE               866.61   
1   1401000        Powiat biaĹ‚obrzeski              1006.68   
2   1402000         Powiat ciechanowski               929.16...</v>
    <v>1</v>
  </rv>
  <rv s="3">
    <fb>0</fb>
    <v>2</v>
  </rv>
  <rv s="2">
    <fb>0</fb>
    <v>&lt;class 'NoneType'&gt;</v>
    <v>NoneType</v>
    <v>None</v>
    <v>3</v>
  </rv>
  <rv s="0">
    <v>1</v>
  </rv>
  <rv s="1">
    <v>DataFrame</v>
    <v>4</v>
    <v>5</v>
  </rv>
  <rv s="2">
    <v>&lt;class 'pandas.core.frame.DataFrame'&gt;</v>
    <v>DataFrame</v>
    <v xml:space="preserve">                Kod  \
count  4.300000e+01   
mean   1.423837e+06   
std    1.791505e+04   
min    1.400000e+06   
25%    1.410500e+06   
50%    1.421000e+06   
75%    1.432500e+06   
max    1.465000e+06   
       nakĹ‚ady inwestycyjne w przedsiÄ™bior...</v>
    <v>6</v>
  </rv>
  <rv s="4">
    <v>0</v>
    <v>9</v>
  </rv>
  <rv s="0">
    <v>2</v>
  </rv>
  <rv s="5">
    <v>Image</v>
    <v>5</v>
    <v>8</v>
    <v>9</v>
  </rv>
  <rv s="2">
    <v>&lt;class 'PIL.PngImagePlugin.PngImageFile'&gt;</v>
    <v>PngImageFile</v>
    <v>&lt;PIL.PngImagePlugin.PngImageFile image mode=RGBA size=520x435 at 0x7F21673A47C0&gt;</v>
    <v>10</v>
  </rv>
  <rv s="4">
    <v>0</v>
    <v>3</v>
  </rv>
</rvData>
</file>

<file path=xl/richData/rdrichvaluestructure.xml><?xml version="1.0" encoding="utf-8"?>
<rvStructures xmlns="http://schemas.microsoft.com/office/spreadsheetml/2017/richdata" count="6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</s>
  <s t="_formattednumber">
    <k n="_Format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6">
    <spb s="0">
      <v>43</v>
      <v>92</v>
      <v>DataFrame</v>
      <v>arrayPreview</v>
      <v>1</v>
    </spb>
    <spb s="1">
      <v>0</v>
    </spb>
    <spb s="2">
      <v>1</v>
    </spb>
    <spb s="0">
      <v>8</v>
      <v>75</v>
      <v>DataFrame</v>
      <v>arrayPreview</v>
      <v>1</v>
    </spb>
    <spb s="1">
      <v>3</v>
    </spb>
    <spb s="3">
      <v>2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0;-0;* "None"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N46"/>
  <sheetViews>
    <sheetView showGridLines="0" workbookViewId="0">
      <pane xSplit="2" topLeftCell="C1" activePane="topRight" state="frozen"/>
      <selection pane="topRight" activeCell="D3" sqref="D3"/>
    </sheetView>
  </sheetViews>
  <sheetFormatPr defaultRowHeight="15" x14ac:dyDescent="0.25"/>
  <cols>
    <col min="1" max="1" width="8" bestFit="1" customWidth="1"/>
    <col min="2" max="2" width="26.42578125" bestFit="1" customWidth="1"/>
    <col min="3" max="3" width="26.42578125" style="1" customWidth="1"/>
    <col min="4" max="4" width="18.42578125" style="1" bestFit="1" customWidth="1"/>
    <col min="5" max="5" width="23.7109375" style="1" bestFit="1" customWidth="1"/>
    <col min="6" max="16384" width="9.140625" style="1"/>
  </cols>
  <sheetData>
    <row r="2" spans="1:92" x14ac:dyDescent="0.25">
      <c r="C2" s="1">
        <v>2414</v>
      </c>
      <c r="D2" s="1">
        <v>2410</v>
      </c>
      <c r="E2" s="1">
        <v>2910</v>
      </c>
      <c r="F2" s="1">
        <v>2755</v>
      </c>
      <c r="H2" s="1">
        <v>1679</v>
      </c>
      <c r="J2" s="1">
        <v>2364</v>
      </c>
      <c r="K2" s="1">
        <v>2381</v>
      </c>
      <c r="M2" s="1">
        <v>2137</v>
      </c>
      <c r="BU2" s="1">
        <v>3362</v>
      </c>
      <c r="BY2" s="1">
        <v>3783</v>
      </c>
      <c r="CD2" s="1">
        <v>2392</v>
      </c>
      <c r="CE2" s="1">
        <v>2276</v>
      </c>
      <c r="CG2" s="1">
        <v>3226</v>
      </c>
      <c r="CM2" s="1">
        <v>2497</v>
      </c>
    </row>
    <row r="3" spans="1:92" x14ac:dyDescent="0.25">
      <c r="A3" t="s">
        <v>0</v>
      </c>
      <c r="B3" t="s">
        <v>1</v>
      </c>
      <c r="C3" s="1" t="s">
        <v>40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1" t="s">
        <v>68</v>
      </c>
      <c r="AB3" s="1" t="s">
        <v>69</v>
      </c>
      <c r="AC3" s="1" t="s">
        <v>70</v>
      </c>
      <c r="AD3" s="1" t="s">
        <v>71</v>
      </c>
      <c r="AE3" s="1" t="s">
        <v>72</v>
      </c>
      <c r="AF3" s="1" t="s">
        <v>73</v>
      </c>
      <c r="AG3" s="1" t="s">
        <v>74</v>
      </c>
      <c r="AH3" s="1" t="s">
        <v>75</v>
      </c>
      <c r="AI3" s="1" t="s">
        <v>76</v>
      </c>
      <c r="AJ3" s="1" t="s">
        <v>77</v>
      </c>
      <c r="AK3" s="1" t="s">
        <v>78</v>
      </c>
      <c r="AL3" s="1" t="s">
        <v>79</v>
      </c>
      <c r="AM3" s="1" t="s">
        <v>80</v>
      </c>
      <c r="AN3" s="1" t="s">
        <v>81</v>
      </c>
      <c r="AO3" s="1" t="s">
        <v>82</v>
      </c>
      <c r="AP3" s="1" t="s">
        <v>83</v>
      </c>
      <c r="AQ3" s="1" t="s">
        <v>84</v>
      </c>
      <c r="AR3" s="1" t="s">
        <v>85</v>
      </c>
      <c r="AS3" s="1" t="s">
        <v>86</v>
      </c>
      <c r="AT3" s="1" t="s">
        <v>87</v>
      </c>
      <c r="AU3" s="1" t="s">
        <v>88</v>
      </c>
      <c r="AV3" s="1" t="s">
        <v>89</v>
      </c>
      <c r="AW3" s="1" t="s">
        <v>90</v>
      </c>
      <c r="AX3" s="1" t="s">
        <v>91</v>
      </c>
      <c r="AY3" s="1" t="s">
        <v>92</v>
      </c>
      <c r="AZ3" s="1" t="s">
        <v>93</v>
      </c>
      <c r="BA3" s="1" t="s">
        <v>94</v>
      </c>
      <c r="BB3" s="1" t="s">
        <v>95</v>
      </c>
      <c r="BC3" s="1" t="s">
        <v>96</v>
      </c>
      <c r="BD3" s="1" t="s">
        <v>97</v>
      </c>
      <c r="BE3" s="1" t="s">
        <v>98</v>
      </c>
      <c r="BF3" s="1" t="s">
        <v>99</v>
      </c>
      <c r="BG3" s="1" t="s">
        <v>100</v>
      </c>
      <c r="BH3" s="1" t="s">
        <v>101</v>
      </c>
      <c r="BI3" s="1" t="s">
        <v>102</v>
      </c>
      <c r="BJ3" s="1" t="s">
        <v>103</v>
      </c>
      <c r="BK3" s="1" t="s">
        <v>104</v>
      </c>
      <c r="BL3" s="1" t="s">
        <v>105</v>
      </c>
      <c r="BM3" s="1" t="s">
        <v>106</v>
      </c>
      <c r="BN3" s="1" t="s">
        <v>107</v>
      </c>
      <c r="BO3" s="1" t="s">
        <v>108</v>
      </c>
      <c r="BP3" s="1" t="s">
        <v>109</v>
      </c>
      <c r="BQ3" s="1" t="s">
        <v>110</v>
      </c>
      <c r="BR3" s="1" t="s">
        <v>111</v>
      </c>
      <c r="BS3" s="1" t="s">
        <v>112</v>
      </c>
      <c r="BT3" s="1" t="s">
        <v>113</v>
      </c>
      <c r="BU3" s="1" t="s">
        <v>114</v>
      </c>
      <c r="BV3" s="1" t="s">
        <v>115</v>
      </c>
      <c r="BW3" s="1" t="s">
        <v>116</v>
      </c>
      <c r="BX3" s="1" t="s">
        <v>117</v>
      </c>
      <c r="BY3" s="1" t="s">
        <v>118</v>
      </c>
      <c r="BZ3" s="1" t="s">
        <v>119</v>
      </c>
      <c r="CA3" s="1" t="s">
        <v>120</v>
      </c>
      <c r="CB3" s="1" t="s">
        <v>121</v>
      </c>
      <c r="CC3" s="1" t="s">
        <v>122</v>
      </c>
      <c r="CD3" t="s">
        <v>123</v>
      </c>
      <c r="CE3" t="s">
        <v>124</v>
      </c>
      <c r="CF3" t="s">
        <v>125</v>
      </c>
      <c r="CG3" t="s">
        <v>126</v>
      </c>
      <c r="CH3" t="s">
        <v>127</v>
      </c>
      <c r="CI3" t="s">
        <v>128</v>
      </c>
      <c r="CJ3" t="s">
        <v>129</v>
      </c>
      <c r="CK3" t="s">
        <v>130</v>
      </c>
      <c r="CL3" t="s">
        <v>131</v>
      </c>
      <c r="CM3" t="s">
        <v>40</v>
      </c>
      <c r="CN3" t="s">
        <v>132</v>
      </c>
    </row>
    <row r="4" spans="1:92" x14ac:dyDescent="0.25">
      <c r="A4">
        <v>1400000</v>
      </c>
      <c r="B4" t="s">
        <v>2</v>
      </c>
      <c r="C4" s="1" cm="1">
        <f t="array" ref="C4:C46">_xlfn.XLOOKUP(A4:A46,[1]FINA_2414_CTAB_20231228112039!$A$2:$A$39,[1]FINA_2414_CTAB_20231228112039!$C$2:$C$39,"--")</f>
        <v>866.61</v>
      </c>
      <c r="D4" s="1" cm="1">
        <f t="array" ref="D4:D46">_xlfn.XLOOKUP(A4:A46,[3]FINA_2410_CTAB_20231228112558!$A$2:$A$39,[3]FINA_2410_CTAB_20231228112558!$C$2:$C$39,"--")</f>
        <v>859.19</v>
      </c>
      <c r="E4" s="1" cm="1">
        <f t="array" ref="E4:E46">_xlfn.XLOOKUP(A4:A46,[4]FINA_2910_CTAB_20231228112716!$A$2:$A$39,[4]FINA_2910_CTAB_20231228112716!$C$2:$C$39,"--")</f>
        <v>117092646.31</v>
      </c>
      <c r="F4" s="1" cm="1">
        <f t="array" ref="F4:F46">_xlfn.XLOOKUP(A4:A46,[5]INWE_2755_CTAB_20231228112811!$A$2:$A$44,[5]INWE_2755_CTAB_20231228112811!$C$2:$C$44,"--")</f>
        <v>5256</v>
      </c>
      <c r="G4" s="1" cm="1">
        <f t="array" ref="G4:G46">_xlfn.XLOOKUP(A4:A46,[5]INWE_2755_CTAB_20231228112811!$A$2:$A$44,[5]INWE_2755_CTAB_20231228112811!$D$2:$D$44,"--")</f>
        <v>72223</v>
      </c>
      <c r="H4" s="1" cm="1">
        <f t="array" ref="H4:H46">_xlfn.XLOOKUP(A4:A46,[2]KULT_1679_CTAB_20231228113019!$A$2:$A$36,[2]KULT_1679_CTAB_20231228113019!$C$2:$C$36,"--")</f>
        <v>115</v>
      </c>
      <c r="I4" s="1" cm="1">
        <f t="array" ref="I4:I46">_xlfn.XLOOKUP(A4:A46,[2]KULT_1679_CTAB_20231228113019!$A$2:$A$36,[2]KULT_1679_CTAB_20231228113019!$D$2:$D$36,"--")</f>
        <v>12578.1</v>
      </c>
      <c r="J4" s="1" cm="1">
        <f t="array" ref="J4:J46">_xlfn.XLOOKUP(A4:A46,[6]KULT_2364_CTAB_20231228113055!$A$2:$A$44,[6]KULT_2364_CTAB_20231228113055!$C$2:$C$44,"--")</f>
        <v>119</v>
      </c>
      <c r="K4" s="1" cm="1">
        <f t="array" ref="K4:K46">_xlfn.XLOOKUP(A4:A46,[7]KULT_2381_CTAB_20231228113151!$A$2:$A$44,[7]KULT_2381_CTAB_20231228113151!$C$2:$C$44,"--")</f>
        <v>4846</v>
      </c>
      <c r="L4" s="1" cm="1">
        <f t="array" ref="L4:L46">_xlfn.XLOOKUP(A4:A46,[7]KULT_2381_CTAB_20231228113151!$A$2:$A$44,[7]KULT_2381_CTAB_20231228113151!$D$2:$D$44,"--")</f>
        <v>16</v>
      </c>
      <c r="M4" s="1" cm="1">
        <f t="array" ref="M4:BT4">_xlfn.XLOOKUP(A4,[8]LUDN_2137_CTAB_20231228113344!A$2:A$44,[8]LUDN_2137_CTAB_20231228113344!C$2:BJ$44,"--")</f>
        <v>5301760</v>
      </c>
      <c r="N4" s="1">
        <v>2536666</v>
      </c>
      <c r="O4" s="1">
        <v>2765094</v>
      </c>
      <c r="P4" s="1">
        <v>301725</v>
      </c>
      <c r="Q4" s="1">
        <v>154957</v>
      </c>
      <c r="R4" s="1">
        <v>146768</v>
      </c>
      <c r="S4" s="1">
        <v>267137</v>
      </c>
      <c r="T4" s="1">
        <v>136852</v>
      </c>
      <c r="U4" s="1">
        <v>130285</v>
      </c>
      <c r="V4" s="1">
        <v>250730</v>
      </c>
      <c r="W4" s="1">
        <v>128573</v>
      </c>
      <c r="X4" s="1">
        <v>122157</v>
      </c>
      <c r="Y4" s="1">
        <v>285534</v>
      </c>
      <c r="Z4" s="1">
        <v>145973</v>
      </c>
      <c r="AA4" s="1">
        <v>139561</v>
      </c>
      <c r="AB4" s="1">
        <v>346055</v>
      </c>
      <c r="AC4" s="1">
        <v>175899</v>
      </c>
      <c r="AD4" s="1">
        <v>170156</v>
      </c>
      <c r="AE4" s="1">
        <v>426147</v>
      </c>
      <c r="AF4" s="1">
        <v>213129</v>
      </c>
      <c r="AG4" s="1">
        <v>213018</v>
      </c>
      <c r="AH4" s="1">
        <v>453949</v>
      </c>
      <c r="AI4" s="1">
        <v>225289</v>
      </c>
      <c r="AJ4" s="1">
        <v>228660</v>
      </c>
      <c r="AK4" s="1">
        <v>427187</v>
      </c>
      <c r="AL4" s="1">
        <v>212602</v>
      </c>
      <c r="AM4" s="1">
        <v>214585</v>
      </c>
      <c r="AN4" s="1">
        <v>339770</v>
      </c>
      <c r="AO4" s="1">
        <v>170111</v>
      </c>
      <c r="AP4" s="1">
        <v>169659</v>
      </c>
      <c r="AQ4" s="1">
        <v>308521</v>
      </c>
      <c r="AR4" s="1">
        <v>153586</v>
      </c>
      <c r="AS4" s="1">
        <v>154935</v>
      </c>
      <c r="AT4" s="1">
        <v>351359</v>
      </c>
      <c r="AU4" s="1">
        <v>171026</v>
      </c>
      <c r="AV4" s="1">
        <v>180333</v>
      </c>
      <c r="AW4" s="1">
        <v>402910</v>
      </c>
      <c r="AX4" s="1">
        <v>190250</v>
      </c>
      <c r="AY4" s="1">
        <v>212660</v>
      </c>
      <c r="AZ4" s="1">
        <v>343514</v>
      </c>
      <c r="BA4" s="1">
        <v>156620</v>
      </c>
      <c r="BB4" s="1">
        <v>186894</v>
      </c>
      <c r="BC4" s="1">
        <v>227230</v>
      </c>
      <c r="BD4" s="1">
        <v>97822</v>
      </c>
      <c r="BE4" s="1">
        <v>129408</v>
      </c>
      <c r="BF4" s="1">
        <v>569992</v>
      </c>
      <c r="BG4" s="1">
        <v>203977</v>
      </c>
      <c r="BH4" s="1">
        <v>366015</v>
      </c>
      <c r="BI4" s="1">
        <v>177149</v>
      </c>
      <c r="BJ4" s="1">
        <v>70401</v>
      </c>
      <c r="BK4" s="1">
        <v>106748</v>
      </c>
      <c r="BL4" s="1">
        <v>166027</v>
      </c>
      <c r="BM4" s="1">
        <v>61658</v>
      </c>
      <c r="BN4" s="1">
        <v>104369</v>
      </c>
      <c r="BO4" s="1">
        <v>132866</v>
      </c>
      <c r="BP4" s="1">
        <v>45534</v>
      </c>
      <c r="BQ4" s="1">
        <v>87332</v>
      </c>
      <c r="BR4" s="1">
        <v>93950</v>
      </c>
      <c r="BS4" s="1">
        <v>26384</v>
      </c>
      <c r="BT4" s="1">
        <v>67566</v>
      </c>
      <c r="BU4" s="1" cm="1">
        <f t="array" ref="BU4:BX4">_xlfn.XLOOKUP(A4,[9]ORGA_3362_CTAB_20231228113847!$A$2:$A$44,[9]ORGA_3362_CTAB_20231228113847!$C$2:$F$44,"--")</f>
        <v>142841</v>
      </c>
      <c r="BV4" s="1">
        <v>26.99</v>
      </c>
      <c r="BW4" s="1">
        <v>19.53</v>
      </c>
      <c r="BX4" s="1">
        <v>2.65</v>
      </c>
      <c r="BY4" s="1" cm="1">
        <f t="array" ref="BY4:CC4">_xlfn.XLOOKUP(A4,[10]RYNE_3783_CTAB_20231228114052!$A$2:$A$39,[10]RYNE_3783_CTAB_20231228114052!$C$2:$G$39,"--")</f>
        <v>17251</v>
      </c>
      <c r="BZ4" s="1">
        <v>4148</v>
      </c>
      <c r="CA4" s="1">
        <v>7479</v>
      </c>
      <c r="CB4" s="1">
        <v>3291</v>
      </c>
      <c r="CC4" s="1">
        <v>2333</v>
      </c>
      <c r="CD4" s="1" cm="1">
        <f t="array" ref="CD4:CD46">_xlfn.XLOOKUP(A4:A46,[11]RYNE_2392_CTAB_20231228114250!$A$2:$A$44,[11]RYNE_2392_CTAB_20231228114250!$C$2:$C$44,"--")</f>
        <v>10.7</v>
      </c>
      <c r="CE4" s="1" cm="1">
        <f t="array" ref="CE4:CF4">_xlfn.XLOOKUP(A4,[12]RYNE_2276_CTAB_20231228114425!$A$2:$A$44,[12]RYNE_2276_CTAB_20231228114425!$C$2:$D$44,"--")</f>
        <v>11.87</v>
      </c>
      <c r="CF4" s="1">
        <v>5.47</v>
      </c>
      <c r="CG4" s="1" cm="1">
        <f t="array" ref="CG4:CL4">_xlfn.XLOOKUP(A4,[13]SZKO_3226_CTAB_20231228114632!$A$2:$A$25,[13]SZKO_3226_CTAB_20231228114632!$C$2:$H$25,"--")</f>
        <v>312033</v>
      </c>
      <c r="CH4" s="1">
        <v>179577</v>
      </c>
      <c r="CI4" s="1">
        <v>132456</v>
      </c>
      <c r="CJ4" s="1">
        <v>85053</v>
      </c>
      <c r="CK4" s="1">
        <v>54399</v>
      </c>
      <c r="CL4" s="1">
        <v>30654</v>
      </c>
      <c r="CM4" s="1" cm="1">
        <f t="array" ref="CM4:CN4">_xlfn.XLOOKUP(A4,[14]WYNA_2497_CTAB_20231228114756!$A$2:$A$44,[14]WYNA_2497_CTAB_20231228114756!$C$2:$D$44,"--")</f>
        <v>4637.58</v>
      </c>
      <c r="CN4" s="1">
        <v>123.9</v>
      </c>
    </row>
    <row r="5" spans="1:92" x14ac:dyDescent="0.25">
      <c r="A5">
        <v>1401000</v>
      </c>
      <c r="B5" t="s">
        <v>3</v>
      </c>
      <c r="C5" s="1">
        <v>1006.68</v>
      </c>
      <c r="D5" s="1">
        <v>970.87</v>
      </c>
      <c r="E5" s="1">
        <v>5996403.5499999998</v>
      </c>
      <c r="F5" s="1">
        <v>883</v>
      </c>
      <c r="G5" s="1">
        <v>7212</v>
      </c>
      <c r="H5" s="1" t="str">
        <v>--</v>
      </c>
      <c r="I5" s="1" t="str">
        <v>--</v>
      </c>
      <c r="J5" s="1">
        <v>0</v>
      </c>
      <c r="K5" s="1">
        <v>3376</v>
      </c>
      <c r="L5" s="1">
        <v>17.7</v>
      </c>
      <c r="M5" s="1" cm="1">
        <f t="array" ref="M5:BT5">_xlfn.XLOOKUP(A5,[8]LUDN_2137_CTAB_20231228113344!A$2:A$44,[8]LUDN_2137_CTAB_20231228113344!C$2:BJ$44,"--")</f>
        <v>33760</v>
      </c>
      <c r="N5" s="1">
        <v>17057</v>
      </c>
      <c r="O5" s="1">
        <v>16703</v>
      </c>
      <c r="P5" s="1">
        <v>1965</v>
      </c>
      <c r="Q5" s="1">
        <v>1029</v>
      </c>
      <c r="R5" s="1">
        <v>936</v>
      </c>
      <c r="S5" s="1">
        <v>1873</v>
      </c>
      <c r="T5" s="1">
        <v>921</v>
      </c>
      <c r="U5" s="1">
        <v>952</v>
      </c>
      <c r="V5" s="1">
        <v>2025</v>
      </c>
      <c r="W5" s="1">
        <v>1073</v>
      </c>
      <c r="X5" s="1">
        <v>952</v>
      </c>
      <c r="Y5" s="1">
        <v>2382</v>
      </c>
      <c r="Z5" s="1">
        <v>1272</v>
      </c>
      <c r="AA5" s="1">
        <v>1110</v>
      </c>
      <c r="AB5" s="1">
        <v>2618</v>
      </c>
      <c r="AC5" s="1">
        <v>1367</v>
      </c>
      <c r="AD5" s="1">
        <v>1251</v>
      </c>
      <c r="AE5" s="1">
        <v>2734</v>
      </c>
      <c r="AF5" s="1">
        <v>1449</v>
      </c>
      <c r="AG5" s="1">
        <v>1285</v>
      </c>
      <c r="AH5" s="1">
        <v>2596</v>
      </c>
      <c r="AI5" s="1">
        <v>1411</v>
      </c>
      <c r="AJ5" s="1">
        <v>1185</v>
      </c>
      <c r="AK5" s="1">
        <v>2389</v>
      </c>
      <c r="AL5" s="1">
        <v>1247</v>
      </c>
      <c r="AM5" s="1">
        <v>1142</v>
      </c>
      <c r="AN5" s="1">
        <v>2161</v>
      </c>
      <c r="AO5" s="1">
        <v>1108</v>
      </c>
      <c r="AP5" s="1">
        <v>1053</v>
      </c>
      <c r="AQ5" s="1">
        <v>2027</v>
      </c>
      <c r="AR5" s="1">
        <v>1059</v>
      </c>
      <c r="AS5" s="1">
        <v>968</v>
      </c>
      <c r="AT5" s="1">
        <v>2217</v>
      </c>
      <c r="AU5" s="1">
        <v>1174</v>
      </c>
      <c r="AV5" s="1">
        <v>1043</v>
      </c>
      <c r="AW5" s="1">
        <v>2379</v>
      </c>
      <c r="AX5" s="1">
        <v>1276</v>
      </c>
      <c r="AY5" s="1">
        <v>1103</v>
      </c>
      <c r="AZ5" s="1">
        <v>1884</v>
      </c>
      <c r="BA5" s="1">
        <v>887</v>
      </c>
      <c r="BB5" s="1">
        <v>997</v>
      </c>
      <c r="BC5" s="1">
        <v>1264</v>
      </c>
      <c r="BD5" s="1">
        <v>582</v>
      </c>
      <c r="BE5" s="1">
        <v>682</v>
      </c>
      <c r="BF5" s="1">
        <v>3246</v>
      </c>
      <c r="BG5" s="1">
        <v>1202</v>
      </c>
      <c r="BH5" s="1">
        <v>2044</v>
      </c>
      <c r="BI5" s="1">
        <v>964</v>
      </c>
      <c r="BJ5" s="1">
        <v>423</v>
      </c>
      <c r="BK5" s="1">
        <v>541</v>
      </c>
      <c r="BL5" s="1">
        <v>934</v>
      </c>
      <c r="BM5" s="1">
        <v>357</v>
      </c>
      <c r="BN5" s="1">
        <v>577</v>
      </c>
      <c r="BO5" s="1">
        <v>769</v>
      </c>
      <c r="BP5" s="1">
        <v>253</v>
      </c>
      <c r="BQ5" s="1">
        <v>516</v>
      </c>
      <c r="BR5" s="1">
        <v>579</v>
      </c>
      <c r="BS5" s="1">
        <v>169</v>
      </c>
      <c r="BT5" s="1">
        <v>410</v>
      </c>
      <c r="BU5" s="1" cm="1">
        <f t="array" ref="BU5:BX5">_xlfn.XLOOKUP(A5,[9]ORGA_3362_CTAB_20231228113847!$A$2:$A$44,[9]ORGA_3362_CTAB_20231228113847!$C$2:$F$44,"--")</f>
        <v>748</v>
      </c>
      <c r="BV5" s="1">
        <v>22.13</v>
      </c>
      <c r="BW5" s="1">
        <v>15.33</v>
      </c>
      <c r="BX5" s="1">
        <v>1.6</v>
      </c>
      <c r="BY5" s="1" cm="1">
        <f t="array" ref="BY5:CC5">_xlfn.XLOOKUP(A5,[10]RYNE_3783_CTAB_20231228114052!$A$2:$A$39,[10]RYNE_3783_CTAB_20231228114052!$C$2:$G$39,"--")</f>
        <v>0</v>
      </c>
      <c r="BZ5" s="1">
        <v>0</v>
      </c>
      <c r="CA5" s="1">
        <v>0</v>
      </c>
      <c r="CB5" s="1">
        <v>0</v>
      </c>
      <c r="CC5" s="1">
        <v>0</v>
      </c>
      <c r="CD5" s="1">
        <v>17</v>
      </c>
      <c r="CE5" s="1" cm="1">
        <f t="array" ref="CE5:CF5">_xlfn.XLOOKUP(A5,[12]RYNE_2276_CTAB_20231228114425!$A$2:$A$44,[12]RYNE_2276_CTAB_20231228114425!$C$2:$D$44,"--")</f>
        <v>0.02</v>
      </c>
      <c r="CF5" s="1">
        <v>3.49</v>
      </c>
      <c r="CG5" s="1" t="str" cm="1">
        <f t="array" ref="CG5">_xlfn.XLOOKUP(A5,[13]SZKO_3226_CTAB_20231228114632!$A$2:$A$25,[13]SZKO_3226_CTAB_20231228114632!$C$2:$H$25,"--")</f>
        <v>--</v>
      </c>
      <c r="CM5" s="1" cm="1">
        <f t="array" ref="CM5:CN5">_xlfn.XLOOKUP(A5,[14]WYNA_2497_CTAB_20231228114756!$A$2:$A$44,[14]WYNA_2497_CTAB_20231228114756!$C$2:$D$44,"--")</f>
        <v>3355.88</v>
      </c>
      <c r="CN5" s="1">
        <v>89.6</v>
      </c>
    </row>
    <row r="6" spans="1:92" x14ac:dyDescent="0.25">
      <c r="A6">
        <v>1402000</v>
      </c>
      <c r="B6" t="s">
        <v>4</v>
      </c>
      <c r="C6" s="1">
        <v>929.16</v>
      </c>
      <c r="D6" s="1">
        <v>937.63</v>
      </c>
      <c r="E6" s="1">
        <v>4047298.15</v>
      </c>
      <c r="F6" s="1">
        <v>4872</v>
      </c>
      <c r="G6" s="1">
        <v>25646</v>
      </c>
      <c r="H6" s="1">
        <v>3</v>
      </c>
      <c r="I6" s="1">
        <v>2921.8</v>
      </c>
      <c r="J6" s="1">
        <v>236</v>
      </c>
      <c r="K6" s="1">
        <v>4562</v>
      </c>
      <c r="L6" s="1">
        <v>23.4</v>
      </c>
      <c r="M6" s="1" cm="1">
        <f t="array" ref="M6:BT6">_xlfn.XLOOKUP(A6,[8]LUDN_2137_CTAB_20231228113344!A$2:A$44,[8]LUDN_2137_CTAB_20231228113344!C$2:BJ$44,"--")</f>
        <v>91243</v>
      </c>
      <c r="N6" s="1">
        <v>44824</v>
      </c>
      <c r="O6" s="1">
        <v>46419</v>
      </c>
      <c r="P6" s="1">
        <v>4872</v>
      </c>
      <c r="Q6" s="1">
        <v>2492</v>
      </c>
      <c r="R6" s="1">
        <v>2380</v>
      </c>
      <c r="S6" s="1">
        <v>4260</v>
      </c>
      <c r="T6" s="1">
        <v>2221</v>
      </c>
      <c r="U6" s="1">
        <v>2039</v>
      </c>
      <c r="V6" s="1">
        <v>4763</v>
      </c>
      <c r="W6" s="1">
        <v>2458</v>
      </c>
      <c r="X6" s="1">
        <v>2305</v>
      </c>
      <c r="Y6" s="1">
        <v>5987</v>
      </c>
      <c r="Z6" s="1">
        <v>3132</v>
      </c>
      <c r="AA6" s="1">
        <v>2855</v>
      </c>
      <c r="AB6" s="1">
        <v>6889</v>
      </c>
      <c r="AC6" s="1">
        <v>3521</v>
      </c>
      <c r="AD6" s="1">
        <v>3368</v>
      </c>
      <c r="AE6" s="1">
        <v>7454</v>
      </c>
      <c r="AF6" s="1">
        <v>3999</v>
      </c>
      <c r="AG6" s="1">
        <v>3455</v>
      </c>
      <c r="AH6" s="1">
        <v>6842</v>
      </c>
      <c r="AI6" s="1">
        <v>3612</v>
      </c>
      <c r="AJ6" s="1">
        <v>3230</v>
      </c>
      <c r="AK6" s="1">
        <v>6205</v>
      </c>
      <c r="AL6" s="1">
        <v>3183</v>
      </c>
      <c r="AM6" s="1">
        <v>3022</v>
      </c>
      <c r="AN6" s="1">
        <v>5658</v>
      </c>
      <c r="AO6" s="1">
        <v>2851</v>
      </c>
      <c r="AP6" s="1">
        <v>2807</v>
      </c>
      <c r="AQ6" s="1">
        <v>5988</v>
      </c>
      <c r="AR6" s="1">
        <v>2944</v>
      </c>
      <c r="AS6" s="1">
        <v>3044</v>
      </c>
      <c r="AT6" s="1">
        <v>7064</v>
      </c>
      <c r="AU6" s="1">
        <v>3583</v>
      </c>
      <c r="AV6" s="1">
        <v>3481</v>
      </c>
      <c r="AW6" s="1">
        <v>7467</v>
      </c>
      <c r="AX6" s="1">
        <v>3602</v>
      </c>
      <c r="AY6" s="1">
        <v>3865</v>
      </c>
      <c r="AZ6" s="1">
        <v>5909</v>
      </c>
      <c r="BA6" s="1">
        <v>2795</v>
      </c>
      <c r="BB6" s="1">
        <v>3114</v>
      </c>
      <c r="BC6" s="1">
        <v>3329</v>
      </c>
      <c r="BD6" s="1">
        <v>1475</v>
      </c>
      <c r="BE6" s="1">
        <v>1854</v>
      </c>
      <c r="BF6" s="1">
        <v>8556</v>
      </c>
      <c r="BG6" s="1">
        <v>2956</v>
      </c>
      <c r="BH6" s="1">
        <v>5600</v>
      </c>
      <c r="BI6" s="1">
        <v>2719</v>
      </c>
      <c r="BJ6" s="1">
        <v>1109</v>
      </c>
      <c r="BK6" s="1">
        <v>1610</v>
      </c>
      <c r="BL6" s="1">
        <v>2496</v>
      </c>
      <c r="BM6" s="1">
        <v>901</v>
      </c>
      <c r="BN6" s="1">
        <v>1595</v>
      </c>
      <c r="BO6" s="1">
        <v>1921</v>
      </c>
      <c r="BP6" s="1">
        <v>591</v>
      </c>
      <c r="BQ6" s="1">
        <v>1330</v>
      </c>
      <c r="BR6" s="1">
        <v>1420</v>
      </c>
      <c r="BS6" s="1">
        <v>355</v>
      </c>
      <c r="BT6" s="1">
        <v>1065</v>
      </c>
      <c r="BU6" s="1" cm="1">
        <f t="array" ref="BU6:BX6">_xlfn.XLOOKUP(A6,[9]ORGA_3362_CTAB_20231228113847!$A$2:$A$44,[9]ORGA_3362_CTAB_20231228113847!$C$2:$F$44,"--")</f>
        <v>2531</v>
      </c>
      <c r="BV6" s="1">
        <v>27.72</v>
      </c>
      <c r="BW6" s="1">
        <v>17.190000000000001</v>
      </c>
      <c r="BX6" s="1">
        <v>4.3899999999999997</v>
      </c>
      <c r="BY6" s="1" cm="1">
        <f t="array" ref="BY6:CC6">_xlfn.XLOOKUP(A6,[10]RYNE_3783_CTAB_20231228114052!$A$2:$A$39,[10]RYNE_3783_CTAB_20231228114052!$C$2:$G$39,"--")</f>
        <v>122</v>
      </c>
      <c r="BZ6" s="1">
        <v>32</v>
      </c>
      <c r="CA6" s="1">
        <v>63</v>
      </c>
      <c r="CB6" s="1">
        <v>23</v>
      </c>
      <c r="CC6" s="1">
        <v>4</v>
      </c>
      <c r="CD6" s="1">
        <v>17.3</v>
      </c>
      <c r="CE6" s="1" cm="1">
        <f t="array" ref="CE6:CF6">_xlfn.XLOOKUP(A6,[12]RYNE_2276_CTAB_20231228114425!$A$2:$A$44,[12]RYNE_2276_CTAB_20231228114425!$C$2:$D$44,"--")</f>
        <v>0.13</v>
      </c>
      <c r="CF6" s="1">
        <v>5.15</v>
      </c>
      <c r="CG6" s="1" cm="1">
        <f t="array" ref="CG6:CL6">_xlfn.XLOOKUP(A6,[13]SZKO_3226_CTAB_20231228114632!$A$2:$A$25,[13]SZKO_3226_CTAB_20231228114632!$C$2:$H$25,"--")</f>
        <v>1955</v>
      </c>
      <c r="CH6" s="1">
        <v>1041</v>
      </c>
      <c r="CI6" s="1">
        <v>914</v>
      </c>
      <c r="CJ6" s="1">
        <v>714</v>
      </c>
      <c r="CK6" s="1">
        <v>461</v>
      </c>
      <c r="CL6" s="1">
        <v>253</v>
      </c>
      <c r="CM6" s="1" cm="1">
        <f t="array" ref="CM6:CN6">_xlfn.XLOOKUP(A6,[14]WYNA_2497_CTAB_20231228114756!$A$2:$A$44,[14]WYNA_2497_CTAB_20231228114756!$C$2:$D$44,"--")</f>
        <v>3385.81</v>
      </c>
      <c r="CN6" s="1">
        <v>90.4</v>
      </c>
    </row>
    <row r="7" spans="1:92" x14ac:dyDescent="0.25">
      <c r="A7">
        <v>1403000</v>
      </c>
      <c r="B7" t="s">
        <v>5</v>
      </c>
      <c r="C7" s="1">
        <v>929.12</v>
      </c>
      <c r="D7" s="1">
        <v>889.09</v>
      </c>
      <c r="E7" s="1">
        <v>3796152.58</v>
      </c>
      <c r="F7" s="1">
        <v>1877</v>
      </c>
      <c r="G7" s="1">
        <v>20423</v>
      </c>
      <c r="H7" s="1">
        <v>1</v>
      </c>
      <c r="I7" s="1">
        <v>129</v>
      </c>
      <c r="J7" s="1">
        <v>431</v>
      </c>
      <c r="K7" s="1">
        <v>3745</v>
      </c>
      <c r="L7" s="1">
        <v>16.5</v>
      </c>
      <c r="M7" s="1" cm="1">
        <f t="array" ref="M7:BT7">_xlfn.XLOOKUP(A7,[8]LUDN_2137_CTAB_20231228113344!A$2:A$44,[8]LUDN_2137_CTAB_20231228113344!C$2:BJ$44,"--")</f>
        <v>108592</v>
      </c>
      <c r="N7" s="1">
        <v>53911</v>
      </c>
      <c r="O7" s="1">
        <v>54681</v>
      </c>
      <c r="P7" s="1">
        <v>6570</v>
      </c>
      <c r="Q7" s="1">
        <v>3372</v>
      </c>
      <c r="R7" s="1">
        <v>3198</v>
      </c>
      <c r="S7" s="1">
        <v>6259</v>
      </c>
      <c r="T7" s="1">
        <v>3213</v>
      </c>
      <c r="U7" s="1">
        <v>3046</v>
      </c>
      <c r="V7" s="1">
        <v>6455</v>
      </c>
      <c r="W7" s="1">
        <v>3236</v>
      </c>
      <c r="X7" s="1">
        <v>3219</v>
      </c>
      <c r="Y7" s="1">
        <v>7715</v>
      </c>
      <c r="Z7" s="1">
        <v>3921</v>
      </c>
      <c r="AA7" s="1">
        <v>3794</v>
      </c>
      <c r="AB7" s="1">
        <v>8540</v>
      </c>
      <c r="AC7" s="1">
        <v>4445</v>
      </c>
      <c r="AD7" s="1">
        <v>4095</v>
      </c>
      <c r="AE7" s="1">
        <v>9086</v>
      </c>
      <c r="AF7" s="1">
        <v>4802</v>
      </c>
      <c r="AG7" s="1">
        <v>4284</v>
      </c>
      <c r="AH7" s="1">
        <v>8563</v>
      </c>
      <c r="AI7" s="1">
        <v>4475</v>
      </c>
      <c r="AJ7" s="1">
        <v>4088</v>
      </c>
      <c r="AK7" s="1">
        <v>7772</v>
      </c>
      <c r="AL7" s="1">
        <v>4074</v>
      </c>
      <c r="AM7" s="1">
        <v>3698</v>
      </c>
      <c r="AN7" s="1">
        <v>6716</v>
      </c>
      <c r="AO7" s="1">
        <v>3472</v>
      </c>
      <c r="AP7" s="1">
        <v>3244</v>
      </c>
      <c r="AQ7" s="1">
        <v>6551</v>
      </c>
      <c r="AR7" s="1">
        <v>3343</v>
      </c>
      <c r="AS7" s="1">
        <v>3208</v>
      </c>
      <c r="AT7" s="1">
        <v>7205</v>
      </c>
      <c r="AU7" s="1">
        <v>3759</v>
      </c>
      <c r="AV7" s="1">
        <v>3446</v>
      </c>
      <c r="AW7" s="1">
        <v>7009</v>
      </c>
      <c r="AX7" s="1">
        <v>3542</v>
      </c>
      <c r="AY7" s="1">
        <v>3467</v>
      </c>
      <c r="AZ7" s="1">
        <v>5788</v>
      </c>
      <c r="BA7" s="1">
        <v>2731</v>
      </c>
      <c r="BB7" s="1">
        <v>3057</v>
      </c>
      <c r="BC7" s="1">
        <v>3946</v>
      </c>
      <c r="BD7" s="1">
        <v>1812</v>
      </c>
      <c r="BE7" s="1">
        <v>2134</v>
      </c>
      <c r="BF7" s="1">
        <v>10417</v>
      </c>
      <c r="BG7" s="1">
        <v>3714</v>
      </c>
      <c r="BH7" s="1">
        <v>6703</v>
      </c>
      <c r="BI7" s="1">
        <v>3090</v>
      </c>
      <c r="BJ7" s="1">
        <v>1288</v>
      </c>
      <c r="BK7" s="1">
        <v>1802</v>
      </c>
      <c r="BL7" s="1">
        <v>2926</v>
      </c>
      <c r="BM7" s="1">
        <v>1087</v>
      </c>
      <c r="BN7" s="1">
        <v>1839</v>
      </c>
      <c r="BO7" s="1">
        <v>2523</v>
      </c>
      <c r="BP7" s="1">
        <v>838</v>
      </c>
      <c r="BQ7" s="1">
        <v>1685</v>
      </c>
      <c r="BR7" s="1">
        <v>1878</v>
      </c>
      <c r="BS7" s="1">
        <v>501</v>
      </c>
      <c r="BT7" s="1">
        <v>1377</v>
      </c>
      <c r="BU7" s="1" cm="1">
        <f t="array" ref="BU7:BX7">_xlfn.XLOOKUP(A7,[9]ORGA_3362_CTAB_20231228113847!$A$2:$A$44,[9]ORGA_3362_CTAB_20231228113847!$C$2:$F$44,"--")</f>
        <v>2193</v>
      </c>
      <c r="BV7" s="1">
        <v>20.21</v>
      </c>
      <c r="BW7" s="1">
        <v>10.77</v>
      </c>
      <c r="BX7" s="1">
        <v>1.8</v>
      </c>
      <c r="BY7" s="1" cm="1">
        <f t="array" ref="BY7:CC7">_xlfn.XLOOKUP(A7,[10]RYNE_3783_CTAB_20231228114052!$A$2:$A$39,[10]RYNE_3783_CTAB_20231228114052!$C$2:$G$39,"--")</f>
        <v>8</v>
      </c>
      <c r="BZ7" s="1">
        <v>0</v>
      </c>
      <c r="CA7" s="1">
        <v>5</v>
      </c>
      <c r="CB7" s="1">
        <v>0</v>
      </c>
      <c r="CC7" s="1">
        <v>0</v>
      </c>
      <c r="CD7" s="1">
        <v>14.5</v>
      </c>
      <c r="CE7" s="1" cm="1">
        <f t="array" ref="CE7:CF7">_xlfn.XLOOKUP(A7,[12]RYNE_2276_CTAB_20231228114425!$A$2:$A$44,[12]RYNE_2276_CTAB_20231228114425!$C$2:$D$44,"--")</f>
        <v>0.09</v>
      </c>
      <c r="CF7" s="1">
        <v>3.53</v>
      </c>
      <c r="CG7" s="1" cm="1">
        <f t="array" ref="CG7:CL7">_xlfn.XLOOKUP(A7,[13]SZKO_3226_CTAB_20231228114632!$A$2:$A$25,[13]SZKO_3226_CTAB_20231228114632!$C$2:$H$25,"--")</f>
        <v>191</v>
      </c>
      <c r="CH7" s="1">
        <v>112</v>
      </c>
      <c r="CI7" s="1">
        <v>79</v>
      </c>
      <c r="CJ7" s="1">
        <v>89</v>
      </c>
      <c r="CK7" s="1">
        <v>61</v>
      </c>
      <c r="CL7" s="1">
        <v>28</v>
      </c>
      <c r="CM7" s="1" cm="1">
        <f t="array" ref="CM7:CN7">_xlfn.XLOOKUP(A7,[14]WYNA_2497_CTAB_20231228114756!$A$2:$A$44,[14]WYNA_2497_CTAB_20231228114756!$C$2:$D$44,"--")</f>
        <v>3277.05</v>
      </c>
      <c r="CN7" s="1">
        <v>87.5</v>
      </c>
    </row>
    <row r="8" spans="1:92" x14ac:dyDescent="0.25">
      <c r="A8">
        <v>1404000</v>
      </c>
      <c r="B8" t="s">
        <v>6</v>
      </c>
      <c r="C8" s="1">
        <v>992.63</v>
      </c>
      <c r="D8" s="1">
        <v>1016.06</v>
      </c>
      <c r="E8" s="1">
        <v>1309764.5900000001</v>
      </c>
      <c r="F8" s="1">
        <v>1091</v>
      </c>
      <c r="G8" s="1">
        <v>16504</v>
      </c>
      <c r="H8" s="1" t="str">
        <v>--</v>
      </c>
      <c r="I8" s="1" t="str">
        <v>--</v>
      </c>
      <c r="J8" s="1">
        <v>120</v>
      </c>
      <c r="K8" s="1">
        <v>3108</v>
      </c>
      <c r="L8" s="1">
        <v>17.100000000000001</v>
      </c>
      <c r="M8" s="1" cm="1">
        <f t="array" ref="M8:BT8">_xlfn.XLOOKUP(A8,[8]LUDN_2137_CTAB_20231228113344!A$2:A$44,[8]LUDN_2137_CTAB_20231228113344!C$2:BJ$44,"--")</f>
        <v>46627</v>
      </c>
      <c r="N8" s="1">
        <v>22705</v>
      </c>
      <c r="O8" s="1">
        <v>23922</v>
      </c>
      <c r="P8" s="1">
        <v>2263</v>
      </c>
      <c r="Q8" s="1">
        <v>1161</v>
      </c>
      <c r="R8" s="1">
        <v>1102</v>
      </c>
      <c r="S8" s="1">
        <v>2135</v>
      </c>
      <c r="T8" s="1">
        <v>1098</v>
      </c>
      <c r="U8" s="1">
        <v>1037</v>
      </c>
      <c r="V8" s="1">
        <v>2389</v>
      </c>
      <c r="W8" s="1">
        <v>1253</v>
      </c>
      <c r="X8" s="1">
        <v>1136</v>
      </c>
      <c r="Y8" s="1">
        <v>2945</v>
      </c>
      <c r="Z8" s="1">
        <v>1539</v>
      </c>
      <c r="AA8" s="1">
        <v>1406</v>
      </c>
      <c r="AB8" s="1">
        <v>3357</v>
      </c>
      <c r="AC8" s="1">
        <v>1669</v>
      </c>
      <c r="AD8" s="1">
        <v>1688</v>
      </c>
      <c r="AE8" s="1">
        <v>3492</v>
      </c>
      <c r="AF8" s="1">
        <v>1825</v>
      </c>
      <c r="AG8" s="1">
        <v>1667</v>
      </c>
      <c r="AH8" s="1">
        <v>3547</v>
      </c>
      <c r="AI8" s="1">
        <v>1860</v>
      </c>
      <c r="AJ8" s="1">
        <v>1687</v>
      </c>
      <c r="AK8" s="1">
        <v>3403</v>
      </c>
      <c r="AL8" s="1">
        <v>1768</v>
      </c>
      <c r="AM8" s="1">
        <v>1635</v>
      </c>
      <c r="AN8" s="1">
        <v>3032</v>
      </c>
      <c r="AO8" s="1">
        <v>1540</v>
      </c>
      <c r="AP8" s="1">
        <v>1492</v>
      </c>
      <c r="AQ8" s="1">
        <v>2969</v>
      </c>
      <c r="AR8" s="1">
        <v>1486</v>
      </c>
      <c r="AS8" s="1">
        <v>1483</v>
      </c>
      <c r="AT8" s="1">
        <v>3440</v>
      </c>
      <c r="AU8" s="1">
        <v>1665</v>
      </c>
      <c r="AV8" s="1">
        <v>1775</v>
      </c>
      <c r="AW8" s="1">
        <v>3597</v>
      </c>
      <c r="AX8" s="1">
        <v>1760</v>
      </c>
      <c r="AY8" s="1">
        <v>1837</v>
      </c>
      <c r="AZ8" s="1">
        <v>3133</v>
      </c>
      <c r="BA8" s="1">
        <v>1446</v>
      </c>
      <c r="BB8" s="1">
        <v>1687</v>
      </c>
      <c r="BC8" s="1">
        <v>2140</v>
      </c>
      <c r="BD8" s="1">
        <v>980</v>
      </c>
      <c r="BE8" s="1">
        <v>1160</v>
      </c>
      <c r="BF8" s="1">
        <v>4785</v>
      </c>
      <c r="BG8" s="1">
        <v>1655</v>
      </c>
      <c r="BH8" s="1">
        <v>3130</v>
      </c>
      <c r="BI8" s="1">
        <v>1597</v>
      </c>
      <c r="BJ8" s="1">
        <v>658</v>
      </c>
      <c r="BK8" s="1">
        <v>939</v>
      </c>
      <c r="BL8" s="1">
        <v>1377</v>
      </c>
      <c r="BM8" s="1">
        <v>496</v>
      </c>
      <c r="BN8" s="1">
        <v>881</v>
      </c>
      <c r="BO8" s="1">
        <v>1023</v>
      </c>
      <c r="BP8" s="1">
        <v>324</v>
      </c>
      <c r="BQ8" s="1">
        <v>699</v>
      </c>
      <c r="BR8" s="1">
        <v>788</v>
      </c>
      <c r="BS8" s="1">
        <v>177</v>
      </c>
      <c r="BT8" s="1">
        <v>611</v>
      </c>
      <c r="BU8" s="1" cm="1">
        <f t="array" ref="BU8:BX8">_xlfn.XLOOKUP(A8,[9]ORGA_3362_CTAB_20231228113847!$A$2:$A$44,[9]ORGA_3362_CTAB_20231228113847!$C$2:$F$44,"--")</f>
        <v>695</v>
      </c>
      <c r="BV8" s="1">
        <v>14.87</v>
      </c>
      <c r="BW8" s="1">
        <v>8.3000000000000007</v>
      </c>
      <c r="BX8" s="1">
        <v>0.77</v>
      </c>
      <c r="BY8" s="1" cm="1">
        <f t="array" ref="BY8:CC8">_xlfn.XLOOKUP(A8,[10]RYNE_3783_CTAB_20231228114052!$A$2:$A$39,[10]RYNE_3783_CTAB_20231228114052!$C$2:$G$39,"--")</f>
        <v>35</v>
      </c>
      <c r="BZ8" s="1">
        <v>10</v>
      </c>
      <c r="CA8" s="1">
        <v>17</v>
      </c>
      <c r="CB8" s="1">
        <v>6</v>
      </c>
      <c r="CC8" s="1">
        <v>0</v>
      </c>
      <c r="CD8" s="1">
        <v>23.2</v>
      </c>
      <c r="CE8" s="1" cm="1">
        <f t="array" ref="CE8:CF8">_xlfn.XLOOKUP(A8,[12]RYNE_2276_CTAB_20231228114425!$A$2:$A$44,[12]RYNE_2276_CTAB_20231228114425!$C$2:$D$44,"--")</f>
        <v>7.0000000000000007E-2</v>
      </c>
      <c r="CF8" s="1">
        <v>6.66</v>
      </c>
      <c r="CG8" s="1" t="str" cm="1">
        <f t="array" ref="CG8">_xlfn.XLOOKUP(A8,[13]SZKO_3226_CTAB_20231228114632!$A$2:$A$25,[13]SZKO_3226_CTAB_20231228114632!$C$2:$H$25,"--")</f>
        <v>--</v>
      </c>
      <c r="CM8" s="1" cm="1">
        <f t="array" ref="CM8:CN8">_xlfn.XLOOKUP(A8,[14]WYNA_2497_CTAB_20231228114756!$A$2:$A$44,[14]WYNA_2497_CTAB_20231228114756!$C$2:$D$44,"--")</f>
        <v>2925.45</v>
      </c>
      <c r="CN8" s="1">
        <v>78.099999999999994</v>
      </c>
    </row>
    <row r="9" spans="1:92" x14ac:dyDescent="0.25">
      <c r="A9">
        <v>1405000</v>
      </c>
      <c r="B9" t="s">
        <v>7</v>
      </c>
      <c r="C9" s="1">
        <v>814.44</v>
      </c>
      <c r="D9" s="1">
        <v>811.79</v>
      </c>
      <c r="E9" s="1">
        <v>650951.93999999994</v>
      </c>
      <c r="F9" s="1">
        <v>4385</v>
      </c>
      <c r="G9" s="1">
        <v>31226</v>
      </c>
      <c r="H9" s="1">
        <v>1</v>
      </c>
      <c r="I9" s="1">
        <v>422</v>
      </c>
      <c r="J9" s="1">
        <v>233</v>
      </c>
      <c r="K9" s="1">
        <v>5470</v>
      </c>
      <c r="L9" s="1">
        <v>14.6</v>
      </c>
      <c r="M9" s="1" cm="1">
        <f t="array" ref="M9:BT9">_xlfn.XLOOKUP(A9,[8]LUDN_2137_CTAB_20231228113344!A$2:A$44,[8]LUDN_2137_CTAB_20231228113344!C$2:BJ$44,"--")</f>
        <v>87519</v>
      </c>
      <c r="N9" s="1">
        <v>41844</v>
      </c>
      <c r="O9" s="1">
        <v>45675</v>
      </c>
      <c r="P9" s="1">
        <v>5322</v>
      </c>
      <c r="Q9" s="1">
        <v>2732</v>
      </c>
      <c r="R9" s="1">
        <v>2590</v>
      </c>
      <c r="S9" s="1">
        <v>4915</v>
      </c>
      <c r="T9" s="1">
        <v>2545</v>
      </c>
      <c r="U9" s="1">
        <v>2370</v>
      </c>
      <c r="V9" s="1">
        <v>4533</v>
      </c>
      <c r="W9" s="1">
        <v>2360</v>
      </c>
      <c r="X9" s="1">
        <v>2173</v>
      </c>
      <c r="Y9" s="1">
        <v>4820</v>
      </c>
      <c r="Z9" s="1">
        <v>2445</v>
      </c>
      <c r="AA9" s="1">
        <v>2375</v>
      </c>
      <c r="AB9" s="1">
        <v>5257</v>
      </c>
      <c r="AC9" s="1">
        <v>2731</v>
      </c>
      <c r="AD9" s="1">
        <v>2526</v>
      </c>
      <c r="AE9" s="1">
        <v>6460</v>
      </c>
      <c r="AF9" s="1">
        <v>3180</v>
      </c>
      <c r="AG9" s="1">
        <v>3280</v>
      </c>
      <c r="AH9" s="1">
        <v>7159</v>
      </c>
      <c r="AI9" s="1">
        <v>3414</v>
      </c>
      <c r="AJ9" s="1">
        <v>3745</v>
      </c>
      <c r="AK9" s="1">
        <v>7419</v>
      </c>
      <c r="AL9" s="1">
        <v>3647</v>
      </c>
      <c r="AM9" s="1">
        <v>3772</v>
      </c>
      <c r="AN9" s="1">
        <v>6098</v>
      </c>
      <c r="AO9" s="1">
        <v>3041</v>
      </c>
      <c r="AP9" s="1">
        <v>3057</v>
      </c>
      <c r="AQ9" s="1">
        <v>5346</v>
      </c>
      <c r="AR9" s="1">
        <v>2694</v>
      </c>
      <c r="AS9" s="1">
        <v>2652</v>
      </c>
      <c r="AT9" s="1">
        <v>5809</v>
      </c>
      <c r="AU9" s="1">
        <v>2730</v>
      </c>
      <c r="AV9" s="1">
        <v>3079</v>
      </c>
      <c r="AW9" s="1">
        <v>6804</v>
      </c>
      <c r="AX9" s="1">
        <v>3233</v>
      </c>
      <c r="AY9" s="1">
        <v>3571</v>
      </c>
      <c r="AZ9" s="1">
        <v>5502</v>
      </c>
      <c r="BA9" s="1">
        <v>2548</v>
      </c>
      <c r="BB9" s="1">
        <v>2954</v>
      </c>
      <c r="BC9" s="1">
        <v>3678</v>
      </c>
      <c r="BD9" s="1">
        <v>1596</v>
      </c>
      <c r="BE9" s="1">
        <v>2082</v>
      </c>
      <c r="BF9" s="1">
        <v>8397</v>
      </c>
      <c r="BG9" s="1">
        <v>2948</v>
      </c>
      <c r="BH9" s="1">
        <v>5449</v>
      </c>
      <c r="BI9" s="1">
        <v>2690</v>
      </c>
      <c r="BJ9" s="1">
        <v>1064</v>
      </c>
      <c r="BK9" s="1">
        <v>1626</v>
      </c>
      <c r="BL9" s="1">
        <v>2447</v>
      </c>
      <c r="BM9" s="1">
        <v>930</v>
      </c>
      <c r="BN9" s="1">
        <v>1517</v>
      </c>
      <c r="BO9" s="1">
        <v>1825</v>
      </c>
      <c r="BP9" s="1">
        <v>600</v>
      </c>
      <c r="BQ9" s="1">
        <v>1225</v>
      </c>
      <c r="BR9" s="1">
        <v>1435</v>
      </c>
      <c r="BS9" s="1">
        <v>354</v>
      </c>
      <c r="BT9" s="1">
        <v>1081</v>
      </c>
      <c r="BU9" s="1" cm="1">
        <f t="array" ref="BU9:BX9">_xlfn.XLOOKUP(A9,[9]ORGA_3362_CTAB_20231228113847!$A$2:$A$44,[9]ORGA_3362_CTAB_20231228113847!$C$2:$F$44,"--")</f>
        <v>2055</v>
      </c>
      <c r="BV9" s="1">
        <v>23.64</v>
      </c>
      <c r="BW9" s="1">
        <v>17.649999999999999</v>
      </c>
      <c r="BX9" s="1">
        <v>1.74</v>
      </c>
      <c r="BY9" s="1" t="str" cm="1">
        <f t="array" ref="BY9">_xlfn.XLOOKUP(A9,[10]RYNE_3783_CTAB_20231228114052!$A$2:$A$39,[10]RYNE_3783_CTAB_20231228114052!$C$2:$G$39,"--")</f>
        <v>--</v>
      </c>
      <c r="CD9" s="1">
        <v>7.8</v>
      </c>
      <c r="CE9" s="1" cm="1">
        <f t="array" ref="CE9:CF9">_xlfn.XLOOKUP(A9,[12]RYNE_2276_CTAB_20231228114425!$A$2:$A$44,[12]RYNE_2276_CTAB_20231228114425!$C$2:$D$44,"--")</f>
        <v>0.13</v>
      </c>
      <c r="CF9" s="1">
        <v>4.3</v>
      </c>
      <c r="CG9" s="1" cm="1">
        <f t="array" ref="CG9:CL9">_xlfn.XLOOKUP(A9,[13]SZKO_3226_CTAB_20231228114632!$A$2:$A$25,[13]SZKO_3226_CTAB_20231228114632!$C$2:$H$25,"--")</f>
        <v>978</v>
      </c>
      <c r="CH9" s="1">
        <v>671</v>
      </c>
      <c r="CI9" s="1">
        <v>307</v>
      </c>
      <c r="CJ9" s="1">
        <v>427</v>
      </c>
      <c r="CK9" s="1">
        <v>247</v>
      </c>
      <c r="CL9" s="1">
        <v>180</v>
      </c>
      <c r="CM9" s="1" cm="1">
        <f t="array" ref="CM9:CN9">_xlfn.XLOOKUP(A9,[14]WYNA_2497_CTAB_20231228114756!$A$2:$A$44,[14]WYNA_2497_CTAB_20231228114756!$C$2:$D$44,"--")</f>
        <v>3854.84</v>
      </c>
      <c r="CN9" s="1">
        <v>103</v>
      </c>
    </row>
    <row r="10" spans="1:92" x14ac:dyDescent="0.25">
      <c r="A10">
        <v>1406000</v>
      </c>
      <c r="B10" t="s">
        <v>8</v>
      </c>
      <c r="C10" s="1">
        <v>896.62</v>
      </c>
      <c r="D10" s="1">
        <v>880.54</v>
      </c>
      <c r="E10" s="1">
        <v>4136572.87</v>
      </c>
      <c r="F10" s="1">
        <v>3006</v>
      </c>
      <c r="G10" s="1">
        <v>46127</v>
      </c>
      <c r="H10" s="1">
        <v>2</v>
      </c>
      <c r="I10" s="1">
        <v>153.19999999999999</v>
      </c>
      <c r="J10" s="1">
        <v>363</v>
      </c>
      <c r="K10" s="1">
        <v>4932</v>
      </c>
      <c r="L10" s="1">
        <v>15.9</v>
      </c>
      <c r="M10" s="1" cm="1">
        <f t="array" ref="M10:BT10">_xlfn.XLOOKUP(A10,[8]LUDN_2137_CTAB_20231228113344!A$2:A$44,[8]LUDN_2137_CTAB_20231228113344!C$2:BJ$44,"--")</f>
        <v>98643</v>
      </c>
      <c r="N10" s="1">
        <v>48628</v>
      </c>
      <c r="O10" s="1">
        <v>50015</v>
      </c>
      <c r="P10" s="1">
        <v>5415</v>
      </c>
      <c r="Q10" s="1">
        <v>2788</v>
      </c>
      <c r="R10" s="1">
        <v>2627</v>
      </c>
      <c r="S10" s="1">
        <v>5195</v>
      </c>
      <c r="T10" s="1">
        <v>2684</v>
      </c>
      <c r="U10" s="1">
        <v>2511</v>
      </c>
      <c r="V10" s="1">
        <v>4939</v>
      </c>
      <c r="W10" s="1">
        <v>2594</v>
      </c>
      <c r="X10" s="1">
        <v>2345</v>
      </c>
      <c r="Y10" s="1">
        <v>5995</v>
      </c>
      <c r="Z10" s="1">
        <v>3132</v>
      </c>
      <c r="AA10" s="1">
        <v>2863</v>
      </c>
      <c r="AB10" s="1">
        <v>6568</v>
      </c>
      <c r="AC10" s="1">
        <v>3351</v>
      </c>
      <c r="AD10" s="1">
        <v>3217</v>
      </c>
      <c r="AE10" s="1">
        <v>7443</v>
      </c>
      <c r="AF10" s="1">
        <v>3831</v>
      </c>
      <c r="AG10" s="1">
        <v>3612</v>
      </c>
      <c r="AH10" s="1">
        <v>8043</v>
      </c>
      <c r="AI10" s="1">
        <v>4088</v>
      </c>
      <c r="AJ10" s="1">
        <v>3955</v>
      </c>
      <c r="AK10" s="1">
        <v>7583</v>
      </c>
      <c r="AL10" s="1">
        <v>3994</v>
      </c>
      <c r="AM10" s="1">
        <v>3589</v>
      </c>
      <c r="AN10" s="1">
        <v>6281</v>
      </c>
      <c r="AO10" s="1">
        <v>3250</v>
      </c>
      <c r="AP10" s="1">
        <v>3031</v>
      </c>
      <c r="AQ10" s="1">
        <v>5965</v>
      </c>
      <c r="AR10" s="1">
        <v>3000</v>
      </c>
      <c r="AS10" s="1">
        <v>2965</v>
      </c>
      <c r="AT10" s="1">
        <v>7007</v>
      </c>
      <c r="AU10" s="1">
        <v>3510</v>
      </c>
      <c r="AV10" s="1">
        <v>3497</v>
      </c>
      <c r="AW10" s="1">
        <v>7701</v>
      </c>
      <c r="AX10" s="1">
        <v>3851</v>
      </c>
      <c r="AY10" s="1">
        <v>3850</v>
      </c>
      <c r="AZ10" s="1">
        <v>6259</v>
      </c>
      <c r="BA10" s="1">
        <v>3049</v>
      </c>
      <c r="BB10" s="1">
        <v>3210</v>
      </c>
      <c r="BC10" s="1">
        <v>4119</v>
      </c>
      <c r="BD10" s="1">
        <v>1829</v>
      </c>
      <c r="BE10" s="1">
        <v>2290</v>
      </c>
      <c r="BF10" s="1">
        <v>10130</v>
      </c>
      <c r="BG10" s="1">
        <v>3677</v>
      </c>
      <c r="BH10" s="1">
        <v>6453</v>
      </c>
      <c r="BI10" s="1">
        <v>3103</v>
      </c>
      <c r="BJ10" s="1">
        <v>1277</v>
      </c>
      <c r="BK10" s="1">
        <v>1826</v>
      </c>
      <c r="BL10" s="1">
        <v>2990</v>
      </c>
      <c r="BM10" s="1">
        <v>1158</v>
      </c>
      <c r="BN10" s="1">
        <v>1832</v>
      </c>
      <c r="BO10" s="1">
        <v>2326</v>
      </c>
      <c r="BP10" s="1">
        <v>795</v>
      </c>
      <c r="BQ10" s="1">
        <v>1531</v>
      </c>
      <c r="BR10" s="1">
        <v>1711</v>
      </c>
      <c r="BS10" s="1">
        <v>447</v>
      </c>
      <c r="BT10" s="1">
        <v>1264</v>
      </c>
      <c r="BU10" s="1" cm="1">
        <f t="array" ref="BU10:BX10">_xlfn.XLOOKUP(A10,[9]ORGA_3362_CTAB_20231228113847!$A$2:$A$44,[9]ORGA_3362_CTAB_20231228113847!$C$2:$F$44,"--")</f>
        <v>2800</v>
      </c>
      <c r="BV10" s="1">
        <v>28.42</v>
      </c>
      <c r="BW10" s="1">
        <v>20.64</v>
      </c>
      <c r="BX10" s="1">
        <v>1.59</v>
      </c>
      <c r="BY10" s="1" t="str" cm="1">
        <f t="array" ref="BY10">_xlfn.XLOOKUP(A10,[10]RYNE_3783_CTAB_20231228114052!$A$2:$A$39,[10]RYNE_3783_CTAB_20231228114052!$C$2:$G$39,"--")</f>
        <v>--</v>
      </c>
      <c r="CD10" s="1">
        <v>8.6</v>
      </c>
      <c r="CE10" s="1" cm="1">
        <f t="array" ref="CE10:CF10">_xlfn.XLOOKUP(A10,[12]RYNE_2276_CTAB_20231228114425!$A$2:$A$44,[12]RYNE_2276_CTAB_20231228114425!$C$2:$D$44,"--")</f>
        <v>0.1</v>
      </c>
      <c r="CF10" s="1">
        <v>4.29</v>
      </c>
      <c r="CG10" s="1" cm="1">
        <f t="array" ref="CG10:CL10">_xlfn.XLOOKUP(A10,[13]SZKO_3226_CTAB_20231228114632!$A$2:$A$25,[13]SZKO_3226_CTAB_20231228114632!$C$2:$H$25,"--")</f>
        <v>60</v>
      </c>
      <c r="CH10" s="1">
        <v>1</v>
      </c>
      <c r="CI10" s="1">
        <v>59</v>
      </c>
      <c r="CJ10" s="1">
        <v>20</v>
      </c>
      <c r="CK10" s="1">
        <v>6</v>
      </c>
      <c r="CL10" s="1">
        <v>14</v>
      </c>
      <c r="CM10" s="1" cm="1">
        <f t="array" ref="CM10:CN10">_xlfn.XLOOKUP(A10,[14]WYNA_2497_CTAB_20231228114756!$A$2:$A$44,[14]WYNA_2497_CTAB_20231228114756!$C$2:$D$44,"--")</f>
        <v>3589.76</v>
      </c>
      <c r="CN10" s="1">
        <v>95.9</v>
      </c>
    </row>
    <row r="11" spans="1:92" x14ac:dyDescent="0.25">
      <c r="A11">
        <v>1407000</v>
      </c>
      <c r="B11" t="s">
        <v>9</v>
      </c>
      <c r="C11" s="1">
        <v>1047.6099999999999</v>
      </c>
      <c r="D11" s="1">
        <v>930.29</v>
      </c>
      <c r="E11" s="1">
        <v>3461797.37</v>
      </c>
      <c r="F11" s="1">
        <v>3985</v>
      </c>
      <c r="G11" s="1">
        <v>78075</v>
      </c>
      <c r="H11" s="1">
        <v>2</v>
      </c>
      <c r="I11" s="1">
        <v>1486.5</v>
      </c>
      <c r="J11" s="1">
        <v>0</v>
      </c>
      <c r="K11" s="1">
        <v>3278</v>
      </c>
      <c r="L11" s="1">
        <v>14.8</v>
      </c>
      <c r="M11" s="1" cm="1">
        <f t="array" ref="M11:BT11">_xlfn.XLOOKUP(A11,[8]LUDN_2137_CTAB_20231228113344!A$2:A$44,[8]LUDN_2137_CTAB_20231228113344!C$2:BJ$44,"--")</f>
        <v>62275</v>
      </c>
      <c r="N11" s="1">
        <v>30945</v>
      </c>
      <c r="O11" s="1">
        <v>31330</v>
      </c>
      <c r="P11" s="1">
        <v>3138</v>
      </c>
      <c r="Q11" s="1">
        <v>1602</v>
      </c>
      <c r="R11" s="1">
        <v>1536</v>
      </c>
      <c r="S11" s="1">
        <v>2871</v>
      </c>
      <c r="T11" s="1">
        <v>1476</v>
      </c>
      <c r="U11" s="1">
        <v>1395</v>
      </c>
      <c r="V11" s="1">
        <v>3229</v>
      </c>
      <c r="W11" s="1">
        <v>1660</v>
      </c>
      <c r="X11" s="1">
        <v>1569</v>
      </c>
      <c r="Y11" s="1">
        <v>4047</v>
      </c>
      <c r="Z11" s="1">
        <v>2108</v>
      </c>
      <c r="AA11" s="1">
        <v>1939</v>
      </c>
      <c r="AB11" s="1">
        <v>4680</v>
      </c>
      <c r="AC11" s="1">
        <v>2424</v>
      </c>
      <c r="AD11" s="1">
        <v>2256</v>
      </c>
      <c r="AE11" s="1">
        <v>4955</v>
      </c>
      <c r="AF11" s="1">
        <v>2643</v>
      </c>
      <c r="AG11" s="1">
        <v>2312</v>
      </c>
      <c r="AH11" s="1">
        <v>4762</v>
      </c>
      <c r="AI11" s="1">
        <v>2581</v>
      </c>
      <c r="AJ11" s="1">
        <v>2181</v>
      </c>
      <c r="AK11" s="1">
        <v>4377</v>
      </c>
      <c r="AL11" s="1">
        <v>2293</v>
      </c>
      <c r="AM11" s="1">
        <v>2084</v>
      </c>
      <c r="AN11" s="1">
        <v>3806</v>
      </c>
      <c r="AO11" s="1">
        <v>2002</v>
      </c>
      <c r="AP11" s="1">
        <v>1804</v>
      </c>
      <c r="AQ11" s="1">
        <v>3589</v>
      </c>
      <c r="AR11" s="1">
        <v>1821</v>
      </c>
      <c r="AS11" s="1">
        <v>1768</v>
      </c>
      <c r="AT11" s="1">
        <v>4526</v>
      </c>
      <c r="AU11" s="1">
        <v>2302</v>
      </c>
      <c r="AV11" s="1">
        <v>2224</v>
      </c>
      <c r="AW11" s="1">
        <v>5247</v>
      </c>
      <c r="AX11" s="1">
        <v>2568</v>
      </c>
      <c r="AY11" s="1">
        <v>2679</v>
      </c>
      <c r="AZ11" s="1">
        <v>4334</v>
      </c>
      <c r="BA11" s="1">
        <v>2101</v>
      </c>
      <c r="BB11" s="1">
        <v>2233</v>
      </c>
      <c r="BC11" s="1">
        <v>2484</v>
      </c>
      <c r="BD11" s="1">
        <v>1182</v>
      </c>
      <c r="BE11" s="1">
        <v>1302</v>
      </c>
      <c r="BF11" s="1">
        <v>6230</v>
      </c>
      <c r="BG11" s="1">
        <v>2182</v>
      </c>
      <c r="BH11" s="1">
        <v>4048</v>
      </c>
      <c r="BI11" s="1">
        <v>1759</v>
      </c>
      <c r="BJ11" s="1">
        <v>726</v>
      </c>
      <c r="BK11" s="1">
        <v>1033</v>
      </c>
      <c r="BL11" s="1">
        <v>1726</v>
      </c>
      <c r="BM11" s="1">
        <v>644</v>
      </c>
      <c r="BN11" s="1">
        <v>1082</v>
      </c>
      <c r="BO11" s="1">
        <v>1490</v>
      </c>
      <c r="BP11" s="1">
        <v>475</v>
      </c>
      <c r="BQ11" s="1">
        <v>1015</v>
      </c>
      <c r="BR11" s="1">
        <v>1255</v>
      </c>
      <c r="BS11" s="1">
        <v>337</v>
      </c>
      <c r="BT11" s="1">
        <v>918</v>
      </c>
      <c r="BU11" s="1" cm="1">
        <f t="array" ref="BU11:BX11">_xlfn.XLOOKUP(A11,[9]ORGA_3362_CTAB_20231228113847!$A$2:$A$44,[9]ORGA_3362_CTAB_20231228113847!$C$2:$F$44,"--")</f>
        <v>1707</v>
      </c>
      <c r="BV11" s="1">
        <v>27.37</v>
      </c>
      <c r="BW11" s="1">
        <v>16.309999999999999</v>
      </c>
      <c r="BX11" s="1">
        <v>0.45</v>
      </c>
      <c r="BY11" s="1" cm="1">
        <f t="array" ref="BY11:CC11">_xlfn.XLOOKUP(A11,[10]RYNE_3783_CTAB_20231228114052!$A$2:$A$39,[10]RYNE_3783_CTAB_20231228114052!$C$2:$G$39,"--")</f>
        <v>127</v>
      </c>
      <c r="BZ11" s="1">
        <v>29</v>
      </c>
      <c r="CA11" s="1">
        <v>83</v>
      </c>
      <c r="CB11" s="1">
        <v>10</v>
      </c>
      <c r="CC11" s="1">
        <v>5</v>
      </c>
      <c r="CD11" s="1">
        <v>19.100000000000001</v>
      </c>
      <c r="CE11" s="1" cm="1">
        <f t="array" ref="CE11:CF11">_xlfn.XLOOKUP(A11,[12]RYNE_2276_CTAB_20231228114425!$A$2:$A$44,[12]RYNE_2276_CTAB_20231228114425!$C$2:$D$44,"--")</f>
        <v>0.08</v>
      </c>
      <c r="CF11" s="1">
        <v>5.25</v>
      </c>
      <c r="CG11" s="1" t="str" cm="1">
        <f t="array" ref="CG11">_xlfn.XLOOKUP(A11,[13]SZKO_3226_CTAB_20231228114632!$A$2:$A$25,[13]SZKO_3226_CTAB_20231228114632!$C$2:$H$25,"--")</f>
        <v>--</v>
      </c>
      <c r="CM11" s="1" cm="1">
        <f t="array" ref="CM11:CN11">_xlfn.XLOOKUP(A11,[14]WYNA_2497_CTAB_20231228114756!$A$2:$A$44,[14]WYNA_2497_CTAB_20231228114756!$C$2:$D$44,"--")</f>
        <v>4239.66</v>
      </c>
      <c r="CN11" s="1">
        <v>113.2</v>
      </c>
    </row>
    <row r="12" spans="1:92" x14ac:dyDescent="0.25">
      <c r="A12">
        <v>1408000</v>
      </c>
      <c r="B12" t="s">
        <v>10</v>
      </c>
      <c r="C12" s="1">
        <v>734.25</v>
      </c>
      <c r="D12" s="1">
        <v>731.96</v>
      </c>
      <c r="E12" s="1">
        <v>2063938.5</v>
      </c>
      <c r="F12" s="1">
        <v>2995</v>
      </c>
      <c r="G12" s="1">
        <v>30347</v>
      </c>
      <c r="H12" s="1">
        <v>1</v>
      </c>
      <c r="I12" s="1">
        <v>655.7</v>
      </c>
      <c r="J12" s="1">
        <v>2198</v>
      </c>
      <c r="K12" s="1">
        <v>6464</v>
      </c>
      <c r="L12" s="1">
        <v>20.8</v>
      </c>
      <c r="M12" s="1" cm="1">
        <f t="array" ref="M12:BT12">_xlfn.XLOOKUP(A12,[8]LUDN_2137_CTAB_20231228113344!A$2:A$44,[8]LUDN_2137_CTAB_20231228113344!C$2:BJ$44,"--")</f>
        <v>109889</v>
      </c>
      <c r="N12" s="1">
        <v>53103</v>
      </c>
      <c r="O12" s="1">
        <v>56786</v>
      </c>
      <c r="P12" s="1">
        <v>7194</v>
      </c>
      <c r="Q12" s="1">
        <v>3731</v>
      </c>
      <c r="R12" s="1">
        <v>3463</v>
      </c>
      <c r="S12" s="1">
        <v>6569</v>
      </c>
      <c r="T12" s="1">
        <v>3426</v>
      </c>
      <c r="U12" s="1">
        <v>3143</v>
      </c>
      <c r="V12" s="1">
        <v>5725</v>
      </c>
      <c r="W12" s="1">
        <v>2954</v>
      </c>
      <c r="X12" s="1">
        <v>2771</v>
      </c>
      <c r="Y12" s="1">
        <v>5724</v>
      </c>
      <c r="Z12" s="1">
        <v>2947</v>
      </c>
      <c r="AA12" s="1">
        <v>2777</v>
      </c>
      <c r="AB12" s="1">
        <v>6170</v>
      </c>
      <c r="AC12" s="1">
        <v>3156</v>
      </c>
      <c r="AD12" s="1">
        <v>3014</v>
      </c>
      <c r="AE12" s="1">
        <v>8336</v>
      </c>
      <c r="AF12" s="1">
        <v>4194</v>
      </c>
      <c r="AG12" s="1">
        <v>4142</v>
      </c>
      <c r="AH12" s="1">
        <v>10556</v>
      </c>
      <c r="AI12" s="1">
        <v>5070</v>
      </c>
      <c r="AJ12" s="1">
        <v>5486</v>
      </c>
      <c r="AK12" s="1">
        <v>10404</v>
      </c>
      <c r="AL12" s="1">
        <v>5149</v>
      </c>
      <c r="AM12" s="1">
        <v>5255</v>
      </c>
      <c r="AN12" s="1">
        <v>7422</v>
      </c>
      <c r="AO12" s="1">
        <v>3721</v>
      </c>
      <c r="AP12" s="1">
        <v>3701</v>
      </c>
      <c r="AQ12" s="1">
        <v>6265</v>
      </c>
      <c r="AR12" s="1">
        <v>3172</v>
      </c>
      <c r="AS12" s="1">
        <v>3093</v>
      </c>
      <c r="AT12" s="1">
        <v>6547</v>
      </c>
      <c r="AU12" s="1">
        <v>3115</v>
      </c>
      <c r="AV12" s="1">
        <v>3432</v>
      </c>
      <c r="AW12" s="1">
        <v>8482</v>
      </c>
      <c r="AX12" s="1">
        <v>3866</v>
      </c>
      <c r="AY12" s="1">
        <v>4616</v>
      </c>
      <c r="AZ12" s="1">
        <v>7625</v>
      </c>
      <c r="BA12" s="1">
        <v>3492</v>
      </c>
      <c r="BB12" s="1">
        <v>4133</v>
      </c>
      <c r="BC12" s="1">
        <v>4426</v>
      </c>
      <c r="BD12" s="1">
        <v>2026</v>
      </c>
      <c r="BE12" s="1">
        <v>2400</v>
      </c>
      <c r="BF12" s="1">
        <v>8444</v>
      </c>
      <c r="BG12" s="1">
        <v>3084</v>
      </c>
      <c r="BH12" s="1">
        <v>5360</v>
      </c>
      <c r="BI12" s="1">
        <v>2982</v>
      </c>
      <c r="BJ12" s="1">
        <v>1219</v>
      </c>
      <c r="BK12" s="1">
        <v>1763</v>
      </c>
      <c r="BL12" s="1">
        <v>2435</v>
      </c>
      <c r="BM12" s="1">
        <v>954</v>
      </c>
      <c r="BN12" s="1">
        <v>1481</v>
      </c>
      <c r="BO12" s="1">
        <v>1815</v>
      </c>
      <c r="BP12" s="1">
        <v>593</v>
      </c>
      <c r="BQ12" s="1">
        <v>1222</v>
      </c>
      <c r="BR12" s="1">
        <v>1212</v>
      </c>
      <c r="BS12" s="1">
        <v>318</v>
      </c>
      <c r="BT12" s="1">
        <v>894</v>
      </c>
      <c r="BU12" s="1" cm="1">
        <f t="array" ref="BU12:BX12">_xlfn.XLOOKUP(A12,[9]ORGA_3362_CTAB_20231228113847!$A$2:$A$44,[9]ORGA_3362_CTAB_20231228113847!$C$2:$F$44,"--")</f>
        <v>2938</v>
      </c>
      <c r="BV12" s="1">
        <v>26.87</v>
      </c>
      <c r="BW12" s="1">
        <v>18.010000000000002</v>
      </c>
      <c r="BX12" s="1">
        <v>2.19</v>
      </c>
      <c r="BY12" s="1" cm="1">
        <f t="array" ref="BY12:CC12">_xlfn.XLOOKUP(A12,[10]RYNE_3783_CTAB_20231228114052!$A$2:$A$39,[10]RYNE_3783_CTAB_20231228114052!$C$2:$G$39,"--")</f>
        <v>247</v>
      </c>
      <c r="BZ12" s="1">
        <v>55</v>
      </c>
      <c r="CA12" s="1">
        <v>133</v>
      </c>
      <c r="CB12" s="1">
        <v>50</v>
      </c>
      <c r="CC12" s="1">
        <v>9</v>
      </c>
      <c r="CD12" s="1">
        <v>14.7</v>
      </c>
      <c r="CE12" s="1" cm="1">
        <f t="array" ref="CE12:CF12">_xlfn.XLOOKUP(A12,[12]RYNE_2276_CTAB_20231228114425!$A$2:$A$44,[12]RYNE_2276_CTAB_20231228114425!$C$2:$D$44,"--")</f>
        <v>0.09</v>
      </c>
      <c r="CF12" s="1">
        <v>3.34</v>
      </c>
      <c r="CG12" s="1" t="str" cm="1">
        <f t="array" ref="CG12">_xlfn.XLOOKUP(A12,[13]SZKO_3226_CTAB_20231228114632!$A$2:$A$25,[13]SZKO_3226_CTAB_20231228114632!$C$2:$H$25,"--")</f>
        <v>--</v>
      </c>
      <c r="CM12" s="1" cm="1">
        <f t="array" ref="CM12:CN12">_xlfn.XLOOKUP(A12,[14]WYNA_2497_CTAB_20231228114756!$A$2:$A$44,[14]WYNA_2497_CTAB_20231228114756!$C$2:$D$44,"--")</f>
        <v>3600.74</v>
      </c>
      <c r="CN12" s="1">
        <v>96.2</v>
      </c>
    </row>
    <row r="13" spans="1:92" x14ac:dyDescent="0.25">
      <c r="A13">
        <v>1409000</v>
      </c>
      <c r="B13" t="s">
        <v>11</v>
      </c>
      <c r="C13" s="1">
        <v>1289.51</v>
      </c>
      <c r="D13" s="1">
        <v>1215.9000000000001</v>
      </c>
      <c r="E13" s="1">
        <v>2599095.1800000002</v>
      </c>
      <c r="F13" s="1">
        <v>411</v>
      </c>
      <c r="G13" s="1">
        <v>6576</v>
      </c>
      <c r="H13" s="1" t="str">
        <v>--</v>
      </c>
      <c r="I13" s="1" t="str">
        <v>--</v>
      </c>
      <c r="J13" s="1">
        <v>0</v>
      </c>
      <c r="K13" s="1">
        <v>2991</v>
      </c>
      <c r="L13" s="1">
        <v>24.5</v>
      </c>
      <c r="M13" s="1" cm="1">
        <f t="array" ref="M13:BT13">_xlfn.XLOOKUP(A13,[8]LUDN_2137_CTAB_20231228113344!A$2:A$44,[8]LUDN_2137_CTAB_20231228113344!C$2:BJ$44,"--")</f>
        <v>35892</v>
      </c>
      <c r="N13" s="1">
        <v>17792</v>
      </c>
      <c r="O13" s="1">
        <v>18100</v>
      </c>
      <c r="P13" s="1">
        <v>1727</v>
      </c>
      <c r="Q13" s="1">
        <v>863</v>
      </c>
      <c r="R13" s="1">
        <v>864</v>
      </c>
      <c r="S13" s="1">
        <v>1575</v>
      </c>
      <c r="T13" s="1">
        <v>785</v>
      </c>
      <c r="U13" s="1">
        <v>790</v>
      </c>
      <c r="V13" s="1">
        <v>1679</v>
      </c>
      <c r="W13" s="1">
        <v>870</v>
      </c>
      <c r="X13" s="1">
        <v>809</v>
      </c>
      <c r="Y13" s="1">
        <v>2201</v>
      </c>
      <c r="Z13" s="1">
        <v>1144</v>
      </c>
      <c r="AA13" s="1">
        <v>1057</v>
      </c>
      <c r="AB13" s="1">
        <v>2683</v>
      </c>
      <c r="AC13" s="1">
        <v>1433</v>
      </c>
      <c r="AD13" s="1">
        <v>1250</v>
      </c>
      <c r="AE13" s="1">
        <v>2751</v>
      </c>
      <c r="AF13" s="1">
        <v>1467</v>
      </c>
      <c r="AG13" s="1">
        <v>1284</v>
      </c>
      <c r="AH13" s="1">
        <v>2604</v>
      </c>
      <c r="AI13" s="1">
        <v>1438</v>
      </c>
      <c r="AJ13" s="1">
        <v>1166</v>
      </c>
      <c r="AK13" s="1">
        <v>2277</v>
      </c>
      <c r="AL13" s="1">
        <v>1198</v>
      </c>
      <c r="AM13" s="1">
        <v>1079</v>
      </c>
      <c r="AN13" s="1">
        <v>2198</v>
      </c>
      <c r="AO13" s="1">
        <v>1128</v>
      </c>
      <c r="AP13" s="1">
        <v>1070</v>
      </c>
      <c r="AQ13" s="1">
        <v>2265</v>
      </c>
      <c r="AR13" s="1">
        <v>1182</v>
      </c>
      <c r="AS13" s="1">
        <v>1083</v>
      </c>
      <c r="AT13" s="1">
        <v>2667</v>
      </c>
      <c r="AU13" s="1">
        <v>1408</v>
      </c>
      <c r="AV13" s="1">
        <v>1259</v>
      </c>
      <c r="AW13" s="1">
        <v>2766</v>
      </c>
      <c r="AX13" s="1">
        <v>1410</v>
      </c>
      <c r="AY13" s="1">
        <v>1356</v>
      </c>
      <c r="AZ13" s="1">
        <v>2439</v>
      </c>
      <c r="BA13" s="1">
        <v>1167</v>
      </c>
      <c r="BB13" s="1">
        <v>1272</v>
      </c>
      <c r="BC13" s="1">
        <v>1577</v>
      </c>
      <c r="BD13" s="1">
        <v>761</v>
      </c>
      <c r="BE13" s="1">
        <v>816</v>
      </c>
      <c r="BF13" s="1">
        <v>4483</v>
      </c>
      <c r="BG13" s="1">
        <v>1538</v>
      </c>
      <c r="BH13" s="1">
        <v>2945</v>
      </c>
      <c r="BI13" s="1">
        <v>1288</v>
      </c>
      <c r="BJ13" s="1">
        <v>505</v>
      </c>
      <c r="BK13" s="1">
        <v>783</v>
      </c>
      <c r="BL13" s="1">
        <v>1095</v>
      </c>
      <c r="BM13" s="1">
        <v>425</v>
      </c>
      <c r="BN13" s="1">
        <v>670</v>
      </c>
      <c r="BO13" s="1">
        <v>1195</v>
      </c>
      <c r="BP13" s="1">
        <v>373</v>
      </c>
      <c r="BQ13" s="1">
        <v>822</v>
      </c>
      <c r="BR13" s="1">
        <v>905</v>
      </c>
      <c r="BS13" s="1">
        <v>235</v>
      </c>
      <c r="BT13" s="1">
        <v>670</v>
      </c>
      <c r="BU13" s="1" cm="1">
        <f t="array" ref="BU13:BX13">_xlfn.XLOOKUP(A13,[9]ORGA_3362_CTAB_20231228113847!$A$2:$A$44,[9]ORGA_3362_CTAB_20231228113847!$C$2:$F$44,"--")</f>
        <v>734</v>
      </c>
      <c r="BV13" s="1">
        <v>20.32</v>
      </c>
      <c r="BW13" s="1">
        <v>8.7200000000000006</v>
      </c>
      <c r="BX13" s="1">
        <v>1.44</v>
      </c>
      <c r="BY13" s="1" t="str" cm="1">
        <f t="array" ref="BY13">_xlfn.XLOOKUP(A13,[10]RYNE_3783_CTAB_20231228114052!$A$2:$A$39,[10]RYNE_3783_CTAB_20231228114052!$C$2:$G$39,"--")</f>
        <v>--</v>
      </c>
      <c r="CD13" s="1">
        <v>17</v>
      </c>
      <c r="CE13" s="1" cm="1">
        <f t="array" ref="CE13:CF13">_xlfn.XLOOKUP(A13,[12]RYNE_2276_CTAB_20231228114425!$A$2:$A$44,[12]RYNE_2276_CTAB_20231228114425!$C$2:$D$44,"--")</f>
        <v>0.01</v>
      </c>
      <c r="CF13" s="1">
        <v>2.27</v>
      </c>
      <c r="CG13" s="1" t="str" cm="1">
        <f t="array" ref="CG13">_xlfn.XLOOKUP(A13,[13]SZKO_3226_CTAB_20231228114632!$A$2:$A$25,[13]SZKO_3226_CTAB_20231228114632!$C$2:$H$25,"--")</f>
        <v>--</v>
      </c>
      <c r="CM13" s="1" cm="1">
        <f t="array" ref="CM13:CN13">_xlfn.XLOOKUP(A13,[14]WYNA_2497_CTAB_20231228114756!$A$2:$A$44,[14]WYNA_2497_CTAB_20231228114756!$C$2:$D$44,"--")</f>
        <v>3098.37</v>
      </c>
      <c r="CN13" s="1">
        <v>82.7</v>
      </c>
    </row>
    <row r="14" spans="1:92" x14ac:dyDescent="0.25">
      <c r="A14">
        <v>1410000</v>
      </c>
      <c r="B14" t="s">
        <v>12</v>
      </c>
      <c r="C14" s="1">
        <v>1064.74</v>
      </c>
      <c r="D14" s="1">
        <v>1062.77</v>
      </c>
      <c r="E14" s="1">
        <v>924364.33</v>
      </c>
      <c r="F14" s="1">
        <v>1104</v>
      </c>
      <c r="G14" s="1">
        <v>9256</v>
      </c>
      <c r="H14" s="1" t="str">
        <v>--</v>
      </c>
      <c r="I14" s="1" t="str">
        <v>--</v>
      </c>
      <c r="J14" s="1">
        <v>126</v>
      </c>
      <c r="K14" s="1">
        <v>2485</v>
      </c>
      <c r="L14" s="1">
        <v>33.799999999999997</v>
      </c>
      <c r="M14" s="1" cm="1">
        <f t="array" ref="M14:BT14">_xlfn.XLOOKUP(A14,[8]LUDN_2137_CTAB_20231228113344!A$2:A$44,[8]LUDN_2137_CTAB_20231228113344!C$2:BJ$44,"--")</f>
        <v>32308</v>
      </c>
      <c r="N14" s="1">
        <v>16115</v>
      </c>
      <c r="O14" s="1">
        <v>16193</v>
      </c>
      <c r="P14" s="1">
        <v>1701</v>
      </c>
      <c r="Q14" s="1">
        <v>867</v>
      </c>
      <c r="R14" s="1">
        <v>834</v>
      </c>
      <c r="S14" s="1">
        <v>1517</v>
      </c>
      <c r="T14" s="1">
        <v>762</v>
      </c>
      <c r="U14" s="1">
        <v>755</v>
      </c>
      <c r="V14" s="1">
        <v>1734</v>
      </c>
      <c r="W14" s="1">
        <v>873</v>
      </c>
      <c r="X14" s="1">
        <v>861</v>
      </c>
      <c r="Y14" s="1">
        <v>2143</v>
      </c>
      <c r="Z14" s="1">
        <v>1091</v>
      </c>
      <c r="AA14" s="1">
        <v>1052</v>
      </c>
      <c r="AB14" s="1">
        <v>2561</v>
      </c>
      <c r="AC14" s="1">
        <v>1362</v>
      </c>
      <c r="AD14" s="1">
        <v>1199</v>
      </c>
      <c r="AE14" s="1">
        <v>2598</v>
      </c>
      <c r="AF14" s="1">
        <v>1392</v>
      </c>
      <c r="AG14" s="1">
        <v>1206</v>
      </c>
      <c r="AH14" s="1">
        <v>2303</v>
      </c>
      <c r="AI14" s="1">
        <v>1249</v>
      </c>
      <c r="AJ14" s="1">
        <v>1054</v>
      </c>
      <c r="AK14" s="1">
        <v>2034</v>
      </c>
      <c r="AL14" s="1">
        <v>1105</v>
      </c>
      <c r="AM14" s="1">
        <v>929</v>
      </c>
      <c r="AN14" s="1">
        <v>1845</v>
      </c>
      <c r="AO14" s="1">
        <v>957</v>
      </c>
      <c r="AP14" s="1">
        <v>888</v>
      </c>
      <c r="AQ14" s="1">
        <v>2035</v>
      </c>
      <c r="AR14" s="1">
        <v>1069</v>
      </c>
      <c r="AS14" s="1">
        <v>966</v>
      </c>
      <c r="AT14" s="1">
        <v>2271</v>
      </c>
      <c r="AU14" s="1">
        <v>1194</v>
      </c>
      <c r="AV14" s="1">
        <v>1077</v>
      </c>
      <c r="AW14" s="1">
        <v>2274</v>
      </c>
      <c r="AX14" s="1">
        <v>1162</v>
      </c>
      <c r="AY14" s="1">
        <v>1112</v>
      </c>
      <c r="AZ14" s="1">
        <v>2011</v>
      </c>
      <c r="BA14" s="1">
        <v>982</v>
      </c>
      <c r="BB14" s="1">
        <v>1029</v>
      </c>
      <c r="BC14" s="1">
        <v>1361</v>
      </c>
      <c r="BD14" s="1">
        <v>596</v>
      </c>
      <c r="BE14" s="1">
        <v>765</v>
      </c>
      <c r="BF14" s="1">
        <v>3920</v>
      </c>
      <c r="BG14" s="1">
        <v>1454</v>
      </c>
      <c r="BH14" s="1">
        <v>2466</v>
      </c>
      <c r="BI14" s="1">
        <v>1155</v>
      </c>
      <c r="BJ14" s="1">
        <v>480</v>
      </c>
      <c r="BK14" s="1">
        <v>675</v>
      </c>
      <c r="BL14" s="1">
        <v>1166</v>
      </c>
      <c r="BM14" s="1">
        <v>456</v>
      </c>
      <c r="BN14" s="1">
        <v>710</v>
      </c>
      <c r="BO14" s="1">
        <v>895</v>
      </c>
      <c r="BP14" s="1">
        <v>305</v>
      </c>
      <c r="BQ14" s="1">
        <v>590</v>
      </c>
      <c r="BR14" s="1">
        <v>704</v>
      </c>
      <c r="BS14" s="1">
        <v>213</v>
      </c>
      <c r="BT14" s="1">
        <v>491</v>
      </c>
      <c r="BU14" s="1" cm="1">
        <f t="array" ref="BU14:BX14">_xlfn.XLOOKUP(A14,[9]ORGA_3362_CTAB_20231228113847!$A$2:$A$44,[9]ORGA_3362_CTAB_20231228113847!$C$2:$F$44,"--")</f>
        <v>603</v>
      </c>
      <c r="BV14" s="1">
        <v>18.600000000000001</v>
      </c>
      <c r="BW14" s="1">
        <v>13.26</v>
      </c>
      <c r="BX14" s="1">
        <v>0.52</v>
      </c>
      <c r="BY14" s="1" cm="1">
        <f t="array" ref="BY14:CC14">_xlfn.XLOOKUP(A14,[10]RYNE_3783_CTAB_20231228114052!$A$2:$A$39,[10]RYNE_3783_CTAB_20231228114052!$C$2:$G$39,"--")</f>
        <v>4</v>
      </c>
      <c r="BZ14" s="1">
        <v>0</v>
      </c>
      <c r="CA14" s="1">
        <v>0</v>
      </c>
      <c r="CB14" s="1">
        <v>0</v>
      </c>
      <c r="CC14" s="1">
        <v>3</v>
      </c>
      <c r="CD14" s="1">
        <v>12.4</v>
      </c>
      <c r="CE14" s="1" cm="1">
        <f t="array" ref="CE14:CF14">_xlfn.XLOOKUP(A14,[12]RYNE_2276_CTAB_20231228114425!$A$2:$A$44,[12]RYNE_2276_CTAB_20231228114425!$C$2:$D$44,"--")</f>
        <v>0.04</v>
      </c>
      <c r="CF14" s="1">
        <v>5.94</v>
      </c>
      <c r="CG14" s="1" t="str" cm="1">
        <f t="array" ref="CG14">_xlfn.XLOOKUP(A14,[13]SZKO_3226_CTAB_20231228114632!$A$2:$A$25,[13]SZKO_3226_CTAB_20231228114632!$C$2:$H$25,"--")</f>
        <v>--</v>
      </c>
      <c r="CM14" s="1" cm="1">
        <f t="array" ref="CM14:CN14">_xlfn.XLOOKUP(A14,[14]WYNA_2497_CTAB_20231228114756!$A$2:$A$44,[14]WYNA_2497_CTAB_20231228114756!$C$2:$D$44,"--")</f>
        <v>3025.24</v>
      </c>
      <c r="CN14" s="1">
        <v>80.8</v>
      </c>
    </row>
    <row r="15" spans="1:92" x14ac:dyDescent="0.25">
      <c r="A15">
        <v>1411000</v>
      </c>
      <c r="B15" t="s">
        <v>13</v>
      </c>
      <c r="C15" s="1">
        <v>983.58</v>
      </c>
      <c r="D15" s="1">
        <v>954.89</v>
      </c>
      <c r="E15" s="1">
        <v>401177.31</v>
      </c>
      <c r="F15" s="1">
        <v>1029</v>
      </c>
      <c r="G15" s="1">
        <v>8130</v>
      </c>
      <c r="H15" s="1">
        <v>1</v>
      </c>
      <c r="I15" s="1">
        <v>255.9</v>
      </c>
      <c r="J15" s="1">
        <v>187</v>
      </c>
      <c r="K15" s="1">
        <v>2129</v>
      </c>
      <c r="L15" s="1">
        <v>18.899999999999999</v>
      </c>
      <c r="M15" s="1" cm="1">
        <f t="array" ref="M15:BT15">_xlfn.XLOOKUP(A15,[8]LUDN_2137_CTAB_20231228113344!A$2:A$44,[8]LUDN_2137_CTAB_20231228113344!C$2:BJ$44,"--")</f>
        <v>46836</v>
      </c>
      <c r="N15" s="1">
        <v>23347</v>
      </c>
      <c r="O15" s="1">
        <v>23489</v>
      </c>
      <c r="P15" s="1">
        <v>2611</v>
      </c>
      <c r="Q15" s="1">
        <v>1320</v>
      </c>
      <c r="R15" s="1">
        <v>1291</v>
      </c>
      <c r="S15" s="1">
        <v>2411</v>
      </c>
      <c r="T15" s="1">
        <v>1233</v>
      </c>
      <c r="U15" s="1">
        <v>1178</v>
      </c>
      <c r="V15" s="1">
        <v>2666</v>
      </c>
      <c r="W15" s="1">
        <v>1368</v>
      </c>
      <c r="X15" s="1">
        <v>1298</v>
      </c>
      <c r="Y15" s="1">
        <v>3196</v>
      </c>
      <c r="Z15" s="1">
        <v>1652</v>
      </c>
      <c r="AA15" s="1">
        <v>1544</v>
      </c>
      <c r="AB15" s="1">
        <v>3577</v>
      </c>
      <c r="AC15" s="1">
        <v>1851</v>
      </c>
      <c r="AD15" s="1">
        <v>1726</v>
      </c>
      <c r="AE15" s="1">
        <v>3685</v>
      </c>
      <c r="AF15" s="1">
        <v>1957</v>
      </c>
      <c r="AG15" s="1">
        <v>1728</v>
      </c>
      <c r="AH15" s="1">
        <v>3437</v>
      </c>
      <c r="AI15" s="1">
        <v>1818</v>
      </c>
      <c r="AJ15" s="1">
        <v>1619</v>
      </c>
      <c r="AK15" s="1">
        <v>3090</v>
      </c>
      <c r="AL15" s="1">
        <v>1667</v>
      </c>
      <c r="AM15" s="1">
        <v>1423</v>
      </c>
      <c r="AN15" s="1">
        <v>2820</v>
      </c>
      <c r="AO15" s="1">
        <v>1466</v>
      </c>
      <c r="AP15" s="1">
        <v>1354</v>
      </c>
      <c r="AQ15" s="1">
        <v>2907</v>
      </c>
      <c r="AR15" s="1">
        <v>1506</v>
      </c>
      <c r="AS15" s="1">
        <v>1401</v>
      </c>
      <c r="AT15" s="1">
        <v>3377</v>
      </c>
      <c r="AU15" s="1">
        <v>1769</v>
      </c>
      <c r="AV15" s="1">
        <v>1608</v>
      </c>
      <c r="AW15" s="1">
        <v>3446</v>
      </c>
      <c r="AX15" s="1">
        <v>1766</v>
      </c>
      <c r="AY15" s="1">
        <v>1680</v>
      </c>
      <c r="AZ15" s="1">
        <v>2938</v>
      </c>
      <c r="BA15" s="1">
        <v>1448</v>
      </c>
      <c r="BB15" s="1">
        <v>1490</v>
      </c>
      <c r="BC15" s="1">
        <v>1596</v>
      </c>
      <c r="BD15" s="1">
        <v>725</v>
      </c>
      <c r="BE15" s="1">
        <v>871</v>
      </c>
      <c r="BF15" s="1">
        <v>5079</v>
      </c>
      <c r="BG15" s="1">
        <v>1801</v>
      </c>
      <c r="BH15" s="1">
        <v>3278</v>
      </c>
      <c r="BI15" s="1">
        <v>1483</v>
      </c>
      <c r="BJ15" s="1">
        <v>617</v>
      </c>
      <c r="BK15" s="1">
        <v>866</v>
      </c>
      <c r="BL15" s="1">
        <v>1433</v>
      </c>
      <c r="BM15" s="1">
        <v>526</v>
      </c>
      <c r="BN15" s="1">
        <v>907</v>
      </c>
      <c r="BO15" s="1">
        <v>1263</v>
      </c>
      <c r="BP15" s="1">
        <v>397</v>
      </c>
      <c r="BQ15" s="1">
        <v>866</v>
      </c>
      <c r="BR15" s="1">
        <v>900</v>
      </c>
      <c r="BS15" s="1">
        <v>261</v>
      </c>
      <c r="BT15" s="1">
        <v>639</v>
      </c>
      <c r="BU15" s="1" cm="1">
        <f t="array" ref="BU15:BX15">_xlfn.XLOOKUP(A15,[9]ORGA_3362_CTAB_20231228113847!$A$2:$A$44,[9]ORGA_3362_CTAB_20231228113847!$C$2:$F$44,"--")</f>
        <v>1087</v>
      </c>
      <c r="BV15" s="1">
        <v>23.18</v>
      </c>
      <c r="BW15" s="1">
        <v>8.89</v>
      </c>
      <c r="BX15" s="1">
        <v>7.4</v>
      </c>
      <c r="BY15" s="1" t="str" cm="1">
        <f t="array" ref="BY15">_xlfn.XLOOKUP(A15,[10]RYNE_3783_CTAB_20231228114052!$A$2:$A$39,[10]RYNE_3783_CTAB_20231228114052!$C$2:$G$39,"--")</f>
        <v>--</v>
      </c>
      <c r="CD15" s="1">
        <v>25.6</v>
      </c>
      <c r="CE15" s="1" cm="1">
        <f t="array" ref="CE15:CF15">_xlfn.XLOOKUP(A15,[12]RYNE_2276_CTAB_20231228114425!$A$2:$A$44,[12]RYNE_2276_CTAB_20231228114425!$C$2:$D$44,"--")</f>
        <v>0.06</v>
      </c>
      <c r="CF15" s="1">
        <v>6.81</v>
      </c>
      <c r="CG15" s="1" t="str" cm="1">
        <f t="array" ref="CG15">_xlfn.XLOOKUP(A15,[13]SZKO_3226_CTAB_20231228114632!$A$2:$A$25,[13]SZKO_3226_CTAB_20231228114632!$C$2:$H$25,"--")</f>
        <v>--</v>
      </c>
      <c r="CM15" s="1" cm="1">
        <f t="array" ref="CM15:CN15">_xlfn.XLOOKUP(A15,[14]WYNA_2497_CTAB_20231228114756!$A$2:$A$44,[14]WYNA_2497_CTAB_20231228114756!$C$2:$D$44,"--")</f>
        <v>3010.45</v>
      </c>
      <c r="CN15" s="1">
        <v>80.400000000000006</v>
      </c>
    </row>
    <row r="16" spans="1:92" x14ac:dyDescent="0.25">
      <c r="A16">
        <v>1412000</v>
      </c>
      <c r="B16" t="s">
        <v>14</v>
      </c>
      <c r="C16" s="1">
        <v>838.84</v>
      </c>
      <c r="D16" s="1">
        <v>791.67</v>
      </c>
      <c r="E16" s="1">
        <v>5247485.5199999996</v>
      </c>
      <c r="F16" s="1">
        <v>1411</v>
      </c>
      <c r="G16" s="1">
        <v>18935</v>
      </c>
      <c r="H16" s="1">
        <v>4</v>
      </c>
      <c r="I16" s="1">
        <v>854.8</v>
      </c>
      <c r="J16" s="1">
        <v>0</v>
      </c>
      <c r="K16" s="1">
        <v>5957</v>
      </c>
      <c r="L16" s="1">
        <v>14.8</v>
      </c>
      <c r="M16" s="1" cm="1">
        <f t="array" ref="M16:BT16">_xlfn.XLOOKUP(A16,[8]LUDN_2137_CTAB_20231228113344!A$2:A$44,[8]LUDN_2137_CTAB_20231228113344!C$2:BJ$44,"--")</f>
        <v>148929</v>
      </c>
      <c r="N16" s="1">
        <v>72650</v>
      </c>
      <c r="O16" s="1">
        <v>76279</v>
      </c>
      <c r="P16" s="1">
        <v>9220</v>
      </c>
      <c r="Q16" s="1">
        <v>4704</v>
      </c>
      <c r="R16" s="1">
        <v>4516</v>
      </c>
      <c r="S16" s="1">
        <v>8091</v>
      </c>
      <c r="T16" s="1">
        <v>4126</v>
      </c>
      <c r="U16" s="1">
        <v>3965</v>
      </c>
      <c r="V16" s="1">
        <v>8206</v>
      </c>
      <c r="W16" s="1">
        <v>4205</v>
      </c>
      <c r="X16" s="1">
        <v>4001</v>
      </c>
      <c r="Y16" s="1">
        <v>9043</v>
      </c>
      <c r="Z16" s="1">
        <v>4619</v>
      </c>
      <c r="AA16" s="1">
        <v>4424</v>
      </c>
      <c r="AB16" s="1">
        <v>10033</v>
      </c>
      <c r="AC16" s="1">
        <v>5181</v>
      </c>
      <c r="AD16" s="1">
        <v>4852</v>
      </c>
      <c r="AE16" s="1">
        <v>11699</v>
      </c>
      <c r="AF16" s="1">
        <v>5852</v>
      </c>
      <c r="AG16" s="1">
        <v>5847</v>
      </c>
      <c r="AH16" s="1">
        <v>12457</v>
      </c>
      <c r="AI16" s="1">
        <v>6287</v>
      </c>
      <c r="AJ16" s="1">
        <v>6170</v>
      </c>
      <c r="AK16" s="1">
        <v>11951</v>
      </c>
      <c r="AL16" s="1">
        <v>6044</v>
      </c>
      <c r="AM16" s="1">
        <v>5907</v>
      </c>
      <c r="AN16" s="1">
        <v>9701</v>
      </c>
      <c r="AO16" s="1">
        <v>4942</v>
      </c>
      <c r="AP16" s="1">
        <v>4759</v>
      </c>
      <c r="AQ16" s="1">
        <v>8954</v>
      </c>
      <c r="AR16" s="1">
        <v>4508</v>
      </c>
      <c r="AS16" s="1">
        <v>4446</v>
      </c>
      <c r="AT16" s="1">
        <v>10178</v>
      </c>
      <c r="AU16" s="1">
        <v>5130</v>
      </c>
      <c r="AV16" s="1">
        <v>5048</v>
      </c>
      <c r="AW16" s="1">
        <v>10561</v>
      </c>
      <c r="AX16" s="1">
        <v>5242</v>
      </c>
      <c r="AY16" s="1">
        <v>5319</v>
      </c>
      <c r="AZ16" s="1">
        <v>8780</v>
      </c>
      <c r="BA16" s="1">
        <v>4220</v>
      </c>
      <c r="BB16" s="1">
        <v>4560</v>
      </c>
      <c r="BC16" s="1">
        <v>5721</v>
      </c>
      <c r="BD16" s="1">
        <v>2480</v>
      </c>
      <c r="BE16" s="1">
        <v>3241</v>
      </c>
      <c r="BF16" s="1">
        <v>14334</v>
      </c>
      <c r="BG16" s="1">
        <v>5110</v>
      </c>
      <c r="BH16" s="1">
        <v>9224</v>
      </c>
      <c r="BI16" s="1">
        <v>4445</v>
      </c>
      <c r="BJ16" s="1">
        <v>1758</v>
      </c>
      <c r="BK16" s="1">
        <v>2687</v>
      </c>
      <c r="BL16" s="1">
        <v>4215</v>
      </c>
      <c r="BM16" s="1">
        <v>1565</v>
      </c>
      <c r="BN16" s="1">
        <v>2650</v>
      </c>
      <c r="BO16" s="1">
        <v>3337</v>
      </c>
      <c r="BP16" s="1">
        <v>1171</v>
      </c>
      <c r="BQ16" s="1">
        <v>2166</v>
      </c>
      <c r="BR16" s="1">
        <v>2337</v>
      </c>
      <c r="BS16" s="1">
        <v>616</v>
      </c>
      <c r="BT16" s="1">
        <v>1721</v>
      </c>
      <c r="BU16" s="1" cm="1">
        <f t="array" ref="BU16:BX16">_xlfn.XLOOKUP(A16,[9]ORGA_3362_CTAB_20231228113847!$A$2:$A$44,[9]ORGA_3362_CTAB_20231228113847!$C$2:$F$44,"--")</f>
        <v>2945</v>
      </c>
      <c r="BV16" s="1">
        <v>19.82</v>
      </c>
      <c r="BW16" s="1">
        <v>13.52</v>
      </c>
      <c r="BX16" s="1">
        <v>1.35</v>
      </c>
      <c r="BY16" s="1" cm="1">
        <f t="array" ref="BY16:CC16">_xlfn.XLOOKUP(A16,[10]RYNE_3783_CTAB_20231228114052!$A$2:$A$39,[10]RYNE_3783_CTAB_20231228114052!$C$2:$G$39,"--")</f>
        <v>367</v>
      </c>
      <c r="BZ16" s="1">
        <v>72</v>
      </c>
      <c r="CA16" s="1">
        <v>182</v>
      </c>
      <c r="CB16" s="1">
        <v>95</v>
      </c>
      <c r="CC16" s="1">
        <v>18</v>
      </c>
      <c r="CD16" s="1">
        <v>11.2</v>
      </c>
      <c r="CE16" s="1" cm="1">
        <f t="array" ref="CE16:CF16">_xlfn.XLOOKUP(A16,[12]RYNE_2276_CTAB_20231228114425!$A$2:$A$44,[12]RYNE_2276_CTAB_20231228114425!$C$2:$D$44,"--")</f>
        <v>0.22</v>
      </c>
      <c r="CF16" s="1">
        <v>5.86</v>
      </c>
      <c r="CG16" s="1" cm="1">
        <f t="array" ref="CG16:CL16">_xlfn.XLOOKUP(A16,[13]SZKO_3226_CTAB_20231228114632!$A$2:$A$25,[13]SZKO_3226_CTAB_20231228114632!$C$2:$H$25,"--")</f>
        <v>303</v>
      </c>
      <c r="CH16" s="1">
        <v>215</v>
      </c>
      <c r="CI16" s="1">
        <v>88</v>
      </c>
      <c r="CJ16" s="1">
        <v>99</v>
      </c>
      <c r="CK16" s="1">
        <v>76</v>
      </c>
      <c r="CL16" s="1">
        <v>23</v>
      </c>
      <c r="CM16" s="1" cm="1">
        <f t="array" ref="CM16:CN16">_xlfn.XLOOKUP(A16,[14]WYNA_2497_CTAB_20231228114756!$A$2:$A$44,[14]WYNA_2497_CTAB_20231228114756!$C$2:$D$44,"--")</f>
        <v>3136.52</v>
      </c>
      <c r="CN16" s="1">
        <v>83.8</v>
      </c>
    </row>
    <row r="17" spans="1:92" x14ac:dyDescent="0.25">
      <c r="A17">
        <v>1413000</v>
      </c>
      <c r="B17" t="s">
        <v>15</v>
      </c>
      <c r="C17" s="1">
        <v>803.16</v>
      </c>
      <c r="D17" s="1">
        <v>825.88</v>
      </c>
      <c r="E17" s="1">
        <v>1691102.01</v>
      </c>
      <c r="F17" s="1">
        <v>4749</v>
      </c>
      <c r="G17" s="1">
        <v>20404</v>
      </c>
      <c r="H17" s="1">
        <v>1</v>
      </c>
      <c r="I17" s="1">
        <v>1233.7</v>
      </c>
      <c r="J17" s="1">
        <v>278</v>
      </c>
      <c r="K17" s="1">
        <v>4378</v>
      </c>
      <c r="L17" s="1">
        <v>14.2</v>
      </c>
      <c r="M17" s="1" cm="1">
        <f t="array" ref="M17:BT17">_xlfn.XLOOKUP(A17,[8]LUDN_2137_CTAB_20231228113344!A$2:A$44,[8]LUDN_2137_CTAB_20231228113344!C$2:BJ$44,"--")</f>
        <v>74420</v>
      </c>
      <c r="N17" s="1">
        <v>36593</v>
      </c>
      <c r="O17" s="1">
        <v>37827</v>
      </c>
      <c r="P17" s="1">
        <v>4010</v>
      </c>
      <c r="Q17" s="1">
        <v>2042</v>
      </c>
      <c r="R17" s="1">
        <v>1968</v>
      </c>
      <c r="S17" s="1">
        <v>3679</v>
      </c>
      <c r="T17" s="1">
        <v>1829</v>
      </c>
      <c r="U17" s="1">
        <v>1850</v>
      </c>
      <c r="V17" s="1">
        <v>4224</v>
      </c>
      <c r="W17" s="1">
        <v>2158</v>
      </c>
      <c r="X17" s="1">
        <v>2066</v>
      </c>
      <c r="Y17" s="1">
        <v>5074</v>
      </c>
      <c r="Z17" s="1">
        <v>2627</v>
      </c>
      <c r="AA17" s="1">
        <v>2447</v>
      </c>
      <c r="AB17" s="1">
        <v>5678</v>
      </c>
      <c r="AC17" s="1">
        <v>2980</v>
      </c>
      <c r="AD17" s="1">
        <v>2698</v>
      </c>
      <c r="AE17" s="1">
        <v>5957</v>
      </c>
      <c r="AF17" s="1">
        <v>3059</v>
      </c>
      <c r="AG17" s="1">
        <v>2898</v>
      </c>
      <c r="AH17" s="1">
        <v>5711</v>
      </c>
      <c r="AI17" s="1">
        <v>2992</v>
      </c>
      <c r="AJ17" s="1">
        <v>2719</v>
      </c>
      <c r="AK17" s="1">
        <v>5144</v>
      </c>
      <c r="AL17" s="1">
        <v>2689</v>
      </c>
      <c r="AM17" s="1">
        <v>2455</v>
      </c>
      <c r="AN17" s="1">
        <v>4655</v>
      </c>
      <c r="AO17" s="1">
        <v>2414</v>
      </c>
      <c r="AP17" s="1">
        <v>2241</v>
      </c>
      <c r="AQ17" s="1">
        <v>4787</v>
      </c>
      <c r="AR17" s="1">
        <v>2488</v>
      </c>
      <c r="AS17" s="1">
        <v>2299</v>
      </c>
      <c r="AT17" s="1">
        <v>5479</v>
      </c>
      <c r="AU17" s="1">
        <v>2789</v>
      </c>
      <c r="AV17" s="1">
        <v>2690</v>
      </c>
      <c r="AW17" s="1">
        <v>5249</v>
      </c>
      <c r="AX17" s="1">
        <v>2592</v>
      </c>
      <c r="AY17" s="1">
        <v>2657</v>
      </c>
      <c r="AZ17" s="1">
        <v>4377</v>
      </c>
      <c r="BA17" s="1">
        <v>2026</v>
      </c>
      <c r="BB17" s="1">
        <v>2351</v>
      </c>
      <c r="BC17" s="1">
        <v>2766</v>
      </c>
      <c r="BD17" s="1">
        <v>1229</v>
      </c>
      <c r="BE17" s="1">
        <v>1537</v>
      </c>
      <c r="BF17" s="1">
        <v>7630</v>
      </c>
      <c r="BG17" s="1">
        <v>2679</v>
      </c>
      <c r="BH17" s="1">
        <v>4951</v>
      </c>
      <c r="BI17" s="1">
        <v>2390</v>
      </c>
      <c r="BJ17" s="1">
        <v>941</v>
      </c>
      <c r="BK17" s="1">
        <v>1449</v>
      </c>
      <c r="BL17" s="1">
        <v>2204</v>
      </c>
      <c r="BM17" s="1">
        <v>837</v>
      </c>
      <c r="BN17" s="1">
        <v>1367</v>
      </c>
      <c r="BO17" s="1">
        <v>1804</v>
      </c>
      <c r="BP17" s="1">
        <v>564</v>
      </c>
      <c r="BQ17" s="1">
        <v>1240</v>
      </c>
      <c r="BR17" s="1">
        <v>1232</v>
      </c>
      <c r="BS17" s="1">
        <v>337</v>
      </c>
      <c r="BT17" s="1">
        <v>895</v>
      </c>
      <c r="BU17" s="1" cm="1">
        <f t="array" ref="BU17:BX17">_xlfn.XLOOKUP(A17,[9]ORGA_3362_CTAB_20231228113847!$A$2:$A$44,[9]ORGA_3362_CTAB_20231228113847!$C$2:$F$44,"--")</f>
        <v>1588</v>
      </c>
      <c r="BV17" s="1">
        <v>21.3</v>
      </c>
      <c r="BW17" s="1">
        <v>13.54</v>
      </c>
      <c r="BX17" s="1">
        <v>3.07</v>
      </c>
      <c r="BY17" s="1" cm="1">
        <f t="array" ref="BY17:CC17">_xlfn.XLOOKUP(A17,[10]RYNE_3783_CTAB_20231228114052!$A$2:$A$39,[10]RYNE_3783_CTAB_20231228114052!$C$2:$G$39,"--")</f>
        <v>140</v>
      </c>
      <c r="BZ17" s="1">
        <v>39</v>
      </c>
      <c r="CA17" s="1">
        <v>73</v>
      </c>
      <c r="CB17" s="1">
        <v>24</v>
      </c>
      <c r="CC17" s="1">
        <v>4</v>
      </c>
      <c r="CD17" s="1">
        <v>15.1</v>
      </c>
      <c r="CE17" s="1" cm="1">
        <f t="array" ref="CE17:CF17">_xlfn.XLOOKUP(A17,[12]RYNE_2276_CTAB_20231228114425!$A$2:$A$44,[12]RYNE_2276_CTAB_20231228114425!$C$2:$D$44,"--")</f>
        <v>0.13</v>
      </c>
      <c r="CF17" s="1">
        <v>6.34</v>
      </c>
      <c r="CG17" s="1" cm="1">
        <f t="array" ref="CG17:CL17">_xlfn.XLOOKUP(A17,[13]SZKO_3226_CTAB_20231228114632!$A$2:$A$25,[13]SZKO_3226_CTAB_20231228114632!$C$2:$H$25,"--")</f>
        <v>213</v>
      </c>
      <c r="CH17" s="1">
        <v>44</v>
      </c>
      <c r="CI17" s="1">
        <v>169</v>
      </c>
      <c r="CJ17" s="1">
        <v>60</v>
      </c>
      <c r="CK17" s="1">
        <v>24</v>
      </c>
      <c r="CL17" s="1">
        <v>36</v>
      </c>
      <c r="CM17" s="1" cm="1">
        <f t="array" ref="CM17:CN17">_xlfn.XLOOKUP(A17,[14]WYNA_2497_CTAB_20231228114756!$A$2:$A$44,[14]WYNA_2497_CTAB_20231228114756!$C$2:$D$44,"--")</f>
        <v>2670.07</v>
      </c>
      <c r="CN17" s="1">
        <v>71.3</v>
      </c>
    </row>
    <row r="18" spans="1:92" x14ac:dyDescent="0.25">
      <c r="A18">
        <v>1414000</v>
      </c>
      <c r="B18" t="s">
        <v>16</v>
      </c>
      <c r="C18" s="1">
        <v>679.52</v>
      </c>
      <c r="D18" s="1">
        <v>682.59</v>
      </c>
      <c r="E18" s="1">
        <v>4907235.74</v>
      </c>
      <c r="F18" s="1">
        <v>5587</v>
      </c>
      <c r="G18" s="1">
        <v>36566</v>
      </c>
      <c r="H18" s="1">
        <v>1</v>
      </c>
      <c r="I18" s="1">
        <v>2612.3000000000002</v>
      </c>
      <c r="J18" s="1">
        <v>475</v>
      </c>
      <c r="K18" s="1">
        <v>5221</v>
      </c>
      <c r="L18" s="1">
        <v>15.8</v>
      </c>
      <c r="M18" s="1" cm="1">
        <f t="array" ref="M18:BT18">_xlfn.XLOOKUP(A18,[8]LUDN_2137_CTAB_20231228113344!A$2:A$44,[8]LUDN_2137_CTAB_20231228113344!C$2:BJ$44,"--")</f>
        <v>78321</v>
      </c>
      <c r="N18" s="1">
        <v>38228</v>
      </c>
      <c r="O18" s="1">
        <v>40093</v>
      </c>
      <c r="P18" s="1">
        <v>4447</v>
      </c>
      <c r="Q18" s="1">
        <v>2304</v>
      </c>
      <c r="R18" s="1">
        <v>2143</v>
      </c>
      <c r="S18" s="1">
        <v>4044</v>
      </c>
      <c r="T18" s="1">
        <v>2036</v>
      </c>
      <c r="U18" s="1">
        <v>2008</v>
      </c>
      <c r="V18" s="1">
        <v>3995</v>
      </c>
      <c r="W18" s="1">
        <v>2058</v>
      </c>
      <c r="X18" s="1">
        <v>1937</v>
      </c>
      <c r="Y18" s="1">
        <v>4460</v>
      </c>
      <c r="Z18" s="1">
        <v>2256</v>
      </c>
      <c r="AA18" s="1">
        <v>2204</v>
      </c>
      <c r="AB18" s="1">
        <v>5362</v>
      </c>
      <c r="AC18" s="1">
        <v>2751</v>
      </c>
      <c r="AD18" s="1">
        <v>2611</v>
      </c>
      <c r="AE18" s="1">
        <v>6484</v>
      </c>
      <c r="AF18" s="1">
        <v>3272</v>
      </c>
      <c r="AG18" s="1">
        <v>3212</v>
      </c>
      <c r="AH18" s="1">
        <v>6565</v>
      </c>
      <c r="AI18" s="1">
        <v>3361</v>
      </c>
      <c r="AJ18" s="1">
        <v>3204</v>
      </c>
      <c r="AK18" s="1">
        <v>6132</v>
      </c>
      <c r="AL18" s="1">
        <v>3097</v>
      </c>
      <c r="AM18" s="1">
        <v>3035</v>
      </c>
      <c r="AN18" s="1">
        <v>4978</v>
      </c>
      <c r="AO18" s="1">
        <v>2554</v>
      </c>
      <c r="AP18" s="1">
        <v>2424</v>
      </c>
      <c r="AQ18" s="1">
        <v>4738</v>
      </c>
      <c r="AR18" s="1">
        <v>2371</v>
      </c>
      <c r="AS18" s="1">
        <v>2367</v>
      </c>
      <c r="AT18" s="1">
        <v>5747</v>
      </c>
      <c r="AU18" s="1">
        <v>2832</v>
      </c>
      <c r="AV18" s="1">
        <v>2915</v>
      </c>
      <c r="AW18" s="1">
        <v>6299</v>
      </c>
      <c r="AX18" s="1">
        <v>3091</v>
      </c>
      <c r="AY18" s="1">
        <v>3208</v>
      </c>
      <c r="AZ18" s="1">
        <v>5018</v>
      </c>
      <c r="BA18" s="1">
        <v>2419</v>
      </c>
      <c r="BB18" s="1">
        <v>2599</v>
      </c>
      <c r="BC18" s="1">
        <v>2898</v>
      </c>
      <c r="BD18" s="1">
        <v>1295</v>
      </c>
      <c r="BE18" s="1">
        <v>1603</v>
      </c>
      <c r="BF18" s="1">
        <v>7154</v>
      </c>
      <c r="BG18" s="1">
        <v>2531</v>
      </c>
      <c r="BH18" s="1">
        <v>4623</v>
      </c>
      <c r="BI18" s="1">
        <v>2348</v>
      </c>
      <c r="BJ18" s="1">
        <v>932</v>
      </c>
      <c r="BK18" s="1">
        <v>1416</v>
      </c>
      <c r="BL18" s="1">
        <v>2117</v>
      </c>
      <c r="BM18" s="1">
        <v>766</v>
      </c>
      <c r="BN18" s="1">
        <v>1351</v>
      </c>
      <c r="BO18" s="1">
        <v>1610</v>
      </c>
      <c r="BP18" s="1">
        <v>548</v>
      </c>
      <c r="BQ18" s="1">
        <v>1062</v>
      </c>
      <c r="BR18" s="1">
        <v>1079</v>
      </c>
      <c r="BS18" s="1">
        <v>285</v>
      </c>
      <c r="BT18" s="1">
        <v>794</v>
      </c>
      <c r="BU18" s="1" cm="1">
        <f t="array" ref="BU18:BX18">_xlfn.XLOOKUP(A18,[9]ORGA_3362_CTAB_20231228113847!$A$2:$A$44,[9]ORGA_3362_CTAB_20231228113847!$C$2:$F$44,"--")</f>
        <v>2468</v>
      </c>
      <c r="BV18" s="1">
        <v>31.57</v>
      </c>
      <c r="BW18" s="1">
        <v>20.43</v>
      </c>
      <c r="BX18" s="1">
        <v>2.89</v>
      </c>
      <c r="BY18" s="1" cm="1">
        <f t="array" ref="BY18:CC18">_xlfn.XLOOKUP(A18,[10]RYNE_3783_CTAB_20231228114052!$A$2:$A$39,[10]RYNE_3783_CTAB_20231228114052!$C$2:$G$39,"--")</f>
        <v>243</v>
      </c>
      <c r="BZ18" s="1">
        <v>76</v>
      </c>
      <c r="CA18" s="1">
        <v>128</v>
      </c>
      <c r="CB18" s="1">
        <v>39</v>
      </c>
      <c r="CC18" s="1">
        <v>0</v>
      </c>
      <c r="CD18" s="1">
        <v>13</v>
      </c>
      <c r="CE18" s="1" cm="1">
        <f t="array" ref="CE18:CF18">_xlfn.XLOOKUP(A18,[12]RYNE_2276_CTAB_20231228114425!$A$2:$A$44,[12]RYNE_2276_CTAB_20231228114425!$C$2:$D$44,"--")</f>
        <v>0.12</v>
      </c>
      <c r="CF18" s="1">
        <v>5.14</v>
      </c>
      <c r="CG18" s="1" t="str" cm="1">
        <f t="array" ref="CG18">_xlfn.XLOOKUP(A18,[13]SZKO_3226_CTAB_20231228114632!$A$2:$A$25,[13]SZKO_3226_CTAB_20231228114632!$C$2:$H$25,"--")</f>
        <v>--</v>
      </c>
      <c r="CM18" s="1" cm="1">
        <f t="array" ref="CM18:CN18">_xlfn.XLOOKUP(A18,[14]WYNA_2497_CTAB_20231228114756!$A$2:$A$44,[14]WYNA_2497_CTAB_20231228114756!$C$2:$D$44,"--")</f>
        <v>4145.3500000000004</v>
      </c>
      <c r="CN18" s="1">
        <v>110.7</v>
      </c>
    </row>
    <row r="19" spans="1:92" x14ac:dyDescent="0.25">
      <c r="A19">
        <v>1415000</v>
      </c>
      <c r="B19" t="s">
        <v>17</v>
      </c>
      <c r="C19" s="1">
        <v>779.76</v>
      </c>
      <c r="D19" s="1">
        <v>738.37</v>
      </c>
      <c r="E19" s="1">
        <v>1306421.82</v>
      </c>
      <c r="F19" s="1">
        <v>794</v>
      </c>
      <c r="G19" s="1">
        <v>9046</v>
      </c>
      <c r="H19" s="1">
        <v>1</v>
      </c>
      <c r="I19" s="1">
        <v>843.7</v>
      </c>
      <c r="J19" s="1">
        <v>0</v>
      </c>
      <c r="K19" s="1">
        <v>2928</v>
      </c>
      <c r="L19" s="1">
        <v>13.7</v>
      </c>
      <c r="M19" s="1" cm="1">
        <f t="array" ref="M19:BT19">_xlfn.XLOOKUP(A19,[8]LUDN_2137_CTAB_20231228113344!A$2:A$44,[8]LUDN_2137_CTAB_20231228113344!C$2:BJ$44,"--")</f>
        <v>87830</v>
      </c>
      <c r="N19" s="1">
        <v>44569</v>
      </c>
      <c r="O19" s="1">
        <v>43261</v>
      </c>
      <c r="P19" s="1">
        <v>5197</v>
      </c>
      <c r="Q19" s="1">
        <v>2658</v>
      </c>
      <c r="R19" s="1">
        <v>2539</v>
      </c>
      <c r="S19" s="1">
        <v>4962</v>
      </c>
      <c r="T19" s="1">
        <v>2520</v>
      </c>
      <c r="U19" s="1">
        <v>2442</v>
      </c>
      <c r="V19" s="1">
        <v>5634</v>
      </c>
      <c r="W19" s="1">
        <v>2974</v>
      </c>
      <c r="X19" s="1">
        <v>2660</v>
      </c>
      <c r="Y19" s="1">
        <v>6629</v>
      </c>
      <c r="Z19" s="1">
        <v>3454</v>
      </c>
      <c r="AA19" s="1">
        <v>3175</v>
      </c>
      <c r="AB19" s="1">
        <v>7488</v>
      </c>
      <c r="AC19" s="1">
        <v>4006</v>
      </c>
      <c r="AD19" s="1">
        <v>3482</v>
      </c>
      <c r="AE19" s="1">
        <v>7147</v>
      </c>
      <c r="AF19" s="1">
        <v>3719</v>
      </c>
      <c r="AG19" s="1">
        <v>3428</v>
      </c>
      <c r="AH19" s="1">
        <v>6476</v>
      </c>
      <c r="AI19" s="1">
        <v>3428</v>
      </c>
      <c r="AJ19" s="1">
        <v>3048</v>
      </c>
      <c r="AK19" s="1">
        <v>5979</v>
      </c>
      <c r="AL19" s="1">
        <v>3191</v>
      </c>
      <c r="AM19" s="1">
        <v>2788</v>
      </c>
      <c r="AN19" s="1">
        <v>5957</v>
      </c>
      <c r="AO19" s="1">
        <v>3093</v>
      </c>
      <c r="AP19" s="1">
        <v>2864</v>
      </c>
      <c r="AQ19" s="1">
        <v>6048</v>
      </c>
      <c r="AR19" s="1">
        <v>3294</v>
      </c>
      <c r="AS19" s="1">
        <v>2754</v>
      </c>
      <c r="AT19" s="1">
        <v>6116</v>
      </c>
      <c r="AU19" s="1">
        <v>3343</v>
      </c>
      <c r="AV19" s="1">
        <v>2773</v>
      </c>
      <c r="AW19" s="1">
        <v>5196</v>
      </c>
      <c r="AX19" s="1">
        <v>2770</v>
      </c>
      <c r="AY19" s="1">
        <v>2426</v>
      </c>
      <c r="AZ19" s="1">
        <v>3944</v>
      </c>
      <c r="BA19" s="1">
        <v>1998</v>
      </c>
      <c r="BB19" s="1">
        <v>1946</v>
      </c>
      <c r="BC19" s="1">
        <v>2432</v>
      </c>
      <c r="BD19" s="1">
        <v>1056</v>
      </c>
      <c r="BE19" s="1">
        <v>1376</v>
      </c>
      <c r="BF19" s="1">
        <v>8625</v>
      </c>
      <c r="BG19" s="1">
        <v>3065</v>
      </c>
      <c r="BH19" s="1">
        <v>5560</v>
      </c>
      <c r="BI19" s="1">
        <v>2657</v>
      </c>
      <c r="BJ19" s="1">
        <v>1082</v>
      </c>
      <c r="BK19" s="1">
        <v>1575</v>
      </c>
      <c r="BL19" s="1">
        <v>2557</v>
      </c>
      <c r="BM19" s="1">
        <v>969</v>
      </c>
      <c r="BN19" s="1">
        <v>1588</v>
      </c>
      <c r="BO19" s="1">
        <v>2041</v>
      </c>
      <c r="BP19" s="1">
        <v>625</v>
      </c>
      <c r="BQ19" s="1">
        <v>1416</v>
      </c>
      <c r="BR19" s="1">
        <v>1370</v>
      </c>
      <c r="BS19" s="1">
        <v>389</v>
      </c>
      <c r="BT19" s="1">
        <v>981</v>
      </c>
      <c r="BU19" s="1" cm="1">
        <f t="array" ref="BU19:BX19">_xlfn.XLOOKUP(A19,[9]ORGA_3362_CTAB_20231228113847!$A$2:$A$44,[9]ORGA_3362_CTAB_20231228113847!$C$2:$F$44,"--")</f>
        <v>3815</v>
      </c>
      <c r="BV19" s="1">
        <v>43.5</v>
      </c>
      <c r="BW19" s="1">
        <v>22.64</v>
      </c>
      <c r="BX19" s="1">
        <v>12.06</v>
      </c>
      <c r="BY19" s="1" cm="1">
        <f t="array" ref="BY19:CC19">_xlfn.XLOOKUP(A19,[10]RYNE_3783_CTAB_20231228114052!$A$2:$A$39,[10]RYNE_3783_CTAB_20231228114052!$C$2:$G$39,"--")</f>
        <v>4</v>
      </c>
      <c r="BZ19" s="1">
        <v>0</v>
      </c>
      <c r="CA19" s="1">
        <v>0</v>
      </c>
      <c r="CB19" s="1">
        <v>0</v>
      </c>
      <c r="CC19" s="1">
        <v>0</v>
      </c>
      <c r="CD19" s="1">
        <v>18.7</v>
      </c>
      <c r="CE19" s="1" cm="1">
        <f t="array" ref="CE19:CF19">_xlfn.XLOOKUP(A19,[12]RYNE_2276_CTAB_20231228114425!$A$2:$A$44,[12]RYNE_2276_CTAB_20231228114425!$C$2:$D$44,"--")</f>
        <v>7.0000000000000007E-2</v>
      </c>
      <c r="CF19" s="1">
        <v>6.28</v>
      </c>
      <c r="CG19" s="1" t="str" cm="1">
        <f t="array" ref="CG19">_xlfn.XLOOKUP(A19,[13]SZKO_3226_CTAB_20231228114632!$A$2:$A$25,[13]SZKO_3226_CTAB_20231228114632!$C$2:$H$25,"--")</f>
        <v>--</v>
      </c>
      <c r="CM19" s="1" cm="1">
        <f t="array" ref="CM19:CN19">_xlfn.XLOOKUP(A19,[14]WYNA_2497_CTAB_20231228114756!$A$2:$A$44,[14]WYNA_2497_CTAB_20231228114756!$C$2:$D$44,"--")</f>
        <v>3213.82</v>
      </c>
      <c r="CN19" s="1">
        <v>85.8</v>
      </c>
    </row>
    <row r="20" spans="1:92" x14ac:dyDescent="0.25">
      <c r="A20">
        <v>1416000</v>
      </c>
      <c r="B20" t="s">
        <v>18</v>
      </c>
      <c r="C20" s="1">
        <v>822.57</v>
      </c>
      <c r="D20" s="1">
        <v>823.06</v>
      </c>
      <c r="E20" s="1">
        <v>4053672.1</v>
      </c>
      <c r="F20" s="1">
        <v>1666</v>
      </c>
      <c r="G20" s="1">
        <v>20229</v>
      </c>
      <c r="H20" s="1" t="str">
        <v>--</v>
      </c>
      <c r="I20" s="1" t="str">
        <v>--</v>
      </c>
      <c r="J20" s="1">
        <v>375</v>
      </c>
      <c r="K20" s="1">
        <v>3261</v>
      </c>
      <c r="L20" s="1">
        <v>16.600000000000001</v>
      </c>
      <c r="M20" s="1" cm="1">
        <f t="array" ref="M20:BT20">_xlfn.XLOOKUP(A20,[8]LUDN_2137_CTAB_20231228113344!A$2:A$44,[8]LUDN_2137_CTAB_20231228113344!C$2:BJ$44,"--")</f>
        <v>74998</v>
      </c>
      <c r="N20" s="1">
        <v>37183</v>
      </c>
      <c r="O20" s="1">
        <v>37815</v>
      </c>
      <c r="P20" s="1">
        <v>3878</v>
      </c>
      <c r="Q20" s="1">
        <v>1993</v>
      </c>
      <c r="R20" s="1">
        <v>1885</v>
      </c>
      <c r="S20" s="1">
        <v>3793</v>
      </c>
      <c r="T20" s="1">
        <v>1973</v>
      </c>
      <c r="U20" s="1">
        <v>1820</v>
      </c>
      <c r="V20" s="1">
        <v>4193</v>
      </c>
      <c r="W20" s="1">
        <v>2130</v>
      </c>
      <c r="X20" s="1">
        <v>2063</v>
      </c>
      <c r="Y20" s="1">
        <v>5100</v>
      </c>
      <c r="Z20" s="1">
        <v>2545</v>
      </c>
      <c r="AA20" s="1">
        <v>2555</v>
      </c>
      <c r="AB20" s="1">
        <v>5678</v>
      </c>
      <c r="AC20" s="1">
        <v>2891</v>
      </c>
      <c r="AD20" s="1">
        <v>2787</v>
      </c>
      <c r="AE20" s="1">
        <v>5893</v>
      </c>
      <c r="AF20" s="1">
        <v>3116</v>
      </c>
      <c r="AG20" s="1">
        <v>2777</v>
      </c>
      <c r="AH20" s="1">
        <v>5572</v>
      </c>
      <c r="AI20" s="1">
        <v>2955</v>
      </c>
      <c r="AJ20" s="1">
        <v>2617</v>
      </c>
      <c r="AK20" s="1">
        <v>5125</v>
      </c>
      <c r="AL20" s="1">
        <v>2695</v>
      </c>
      <c r="AM20" s="1">
        <v>2430</v>
      </c>
      <c r="AN20" s="1">
        <v>4686</v>
      </c>
      <c r="AO20" s="1">
        <v>2467</v>
      </c>
      <c r="AP20" s="1">
        <v>2219</v>
      </c>
      <c r="AQ20" s="1">
        <v>4824</v>
      </c>
      <c r="AR20" s="1">
        <v>2440</v>
      </c>
      <c r="AS20" s="1">
        <v>2384</v>
      </c>
      <c r="AT20" s="1">
        <v>5183</v>
      </c>
      <c r="AU20" s="1">
        <v>2661</v>
      </c>
      <c r="AV20" s="1">
        <v>2522</v>
      </c>
      <c r="AW20" s="1">
        <v>5395</v>
      </c>
      <c r="AX20" s="1">
        <v>2771</v>
      </c>
      <c r="AY20" s="1">
        <v>2624</v>
      </c>
      <c r="AZ20" s="1">
        <v>4441</v>
      </c>
      <c r="BA20" s="1">
        <v>2141</v>
      </c>
      <c r="BB20" s="1">
        <v>2300</v>
      </c>
      <c r="BC20" s="1">
        <v>2853</v>
      </c>
      <c r="BD20" s="1">
        <v>1295</v>
      </c>
      <c r="BE20" s="1">
        <v>1558</v>
      </c>
      <c r="BF20" s="1">
        <v>8384</v>
      </c>
      <c r="BG20" s="1">
        <v>3110</v>
      </c>
      <c r="BH20" s="1">
        <v>5274</v>
      </c>
      <c r="BI20" s="1">
        <v>2509</v>
      </c>
      <c r="BJ20" s="1">
        <v>1085</v>
      </c>
      <c r="BK20" s="1">
        <v>1424</v>
      </c>
      <c r="BL20" s="1">
        <v>2387</v>
      </c>
      <c r="BM20" s="1">
        <v>937</v>
      </c>
      <c r="BN20" s="1">
        <v>1450</v>
      </c>
      <c r="BO20" s="1">
        <v>1992</v>
      </c>
      <c r="BP20" s="1">
        <v>671</v>
      </c>
      <c r="BQ20" s="1">
        <v>1321</v>
      </c>
      <c r="BR20" s="1">
        <v>1496</v>
      </c>
      <c r="BS20" s="1">
        <v>417</v>
      </c>
      <c r="BT20" s="1">
        <v>1079</v>
      </c>
      <c r="BU20" s="1" cm="1">
        <f t="array" ref="BU20:BX20">_xlfn.XLOOKUP(A20,[9]ORGA_3362_CTAB_20231228113847!$A$2:$A$44,[9]ORGA_3362_CTAB_20231228113847!$C$2:$F$44,"--")</f>
        <v>2077</v>
      </c>
      <c r="BV20" s="1">
        <v>27.6</v>
      </c>
      <c r="BW20" s="1">
        <v>18.91</v>
      </c>
      <c r="BX20" s="1">
        <v>1.57</v>
      </c>
      <c r="BY20" s="1" cm="1">
        <f t="array" ref="BY20:CC20">_xlfn.XLOOKUP(A20,[10]RYNE_3783_CTAB_20231228114052!$A$2:$A$39,[10]RYNE_3783_CTAB_20231228114052!$C$2:$G$39,"--")</f>
        <v>18</v>
      </c>
      <c r="BZ20" s="1">
        <v>5</v>
      </c>
      <c r="CA20" s="1">
        <v>9</v>
      </c>
      <c r="CB20" s="1">
        <v>4</v>
      </c>
      <c r="CC20" s="1">
        <v>0</v>
      </c>
      <c r="CD20" s="1">
        <v>18.2</v>
      </c>
      <c r="CE20" s="1" cm="1">
        <f t="array" ref="CE20:CF20">_xlfn.XLOOKUP(A20,[12]RYNE_2276_CTAB_20231228114425!$A$2:$A$44,[12]RYNE_2276_CTAB_20231228114425!$C$2:$D$44,"--")</f>
        <v>7.0000000000000007E-2</v>
      </c>
      <c r="CF20" s="1">
        <v>4.63</v>
      </c>
      <c r="CG20" s="1" cm="1">
        <f t="array" ref="CG20:CL20">_xlfn.XLOOKUP(A20,[13]SZKO_3226_CTAB_20231228114632!$A$2:$A$25,[13]SZKO_3226_CTAB_20231228114632!$C$2:$H$25,"--")</f>
        <v>103</v>
      </c>
      <c r="CH20" s="1">
        <v>62</v>
      </c>
      <c r="CI20" s="1">
        <v>41</v>
      </c>
      <c r="CJ20" s="1">
        <v>37</v>
      </c>
      <c r="CK20" s="1">
        <v>29</v>
      </c>
      <c r="CL20" s="1">
        <v>8</v>
      </c>
      <c r="CM20" s="1" cm="1">
        <f t="array" ref="CM20:CN20">_xlfn.XLOOKUP(A20,[14]WYNA_2497_CTAB_20231228114756!$A$2:$A$44,[14]WYNA_2497_CTAB_20231228114756!$C$2:$D$44,"--")</f>
        <v>3174.79</v>
      </c>
      <c r="CN20" s="1">
        <v>84.8</v>
      </c>
    </row>
    <row r="21" spans="1:92" x14ac:dyDescent="0.25">
      <c r="A21">
        <v>1417000</v>
      </c>
      <c r="B21" t="s">
        <v>19</v>
      </c>
      <c r="C21" s="1">
        <v>848.16</v>
      </c>
      <c r="D21" s="1">
        <v>867.83</v>
      </c>
      <c r="E21" s="1">
        <v>3028805.31</v>
      </c>
      <c r="F21" s="1">
        <v>3246</v>
      </c>
      <c r="G21" s="1">
        <v>24729</v>
      </c>
      <c r="H21" s="1">
        <v>1</v>
      </c>
      <c r="I21" s="1">
        <v>409.2</v>
      </c>
      <c r="J21" s="1">
        <v>674</v>
      </c>
      <c r="K21" s="1">
        <v>4356</v>
      </c>
      <c r="L21" s="1">
        <v>18.2</v>
      </c>
      <c r="M21" s="1" cm="1">
        <f t="array" ref="M21:BT21">_xlfn.XLOOKUP(A21,[8]LUDN_2137_CTAB_20231228113344!A$2:A$44,[8]LUDN_2137_CTAB_20231228113344!C$2:BJ$44,"--")</f>
        <v>121977</v>
      </c>
      <c r="N21" s="1">
        <v>58334</v>
      </c>
      <c r="O21" s="1">
        <v>63643</v>
      </c>
      <c r="P21" s="1">
        <v>7181</v>
      </c>
      <c r="Q21" s="1">
        <v>3591</v>
      </c>
      <c r="R21" s="1">
        <v>3590</v>
      </c>
      <c r="S21" s="1">
        <v>6578</v>
      </c>
      <c r="T21" s="1">
        <v>3399</v>
      </c>
      <c r="U21" s="1">
        <v>3179</v>
      </c>
      <c r="V21" s="1">
        <v>5982</v>
      </c>
      <c r="W21" s="1">
        <v>3036</v>
      </c>
      <c r="X21" s="1">
        <v>2946</v>
      </c>
      <c r="Y21" s="1">
        <v>6772</v>
      </c>
      <c r="Z21" s="1">
        <v>3558</v>
      </c>
      <c r="AA21" s="1">
        <v>3214</v>
      </c>
      <c r="AB21" s="1">
        <v>7854</v>
      </c>
      <c r="AC21" s="1">
        <v>4024</v>
      </c>
      <c r="AD21" s="1">
        <v>3830</v>
      </c>
      <c r="AE21" s="1">
        <v>9165</v>
      </c>
      <c r="AF21" s="1">
        <v>4568</v>
      </c>
      <c r="AG21" s="1">
        <v>4597</v>
      </c>
      <c r="AH21" s="1">
        <v>9924</v>
      </c>
      <c r="AI21" s="1">
        <v>4909</v>
      </c>
      <c r="AJ21" s="1">
        <v>5015</v>
      </c>
      <c r="AK21" s="1">
        <v>9766</v>
      </c>
      <c r="AL21" s="1">
        <v>4833</v>
      </c>
      <c r="AM21" s="1">
        <v>4933</v>
      </c>
      <c r="AN21" s="1">
        <v>8201</v>
      </c>
      <c r="AO21" s="1">
        <v>4036</v>
      </c>
      <c r="AP21" s="1">
        <v>4165</v>
      </c>
      <c r="AQ21" s="1">
        <v>7555</v>
      </c>
      <c r="AR21" s="1">
        <v>3773</v>
      </c>
      <c r="AS21" s="1">
        <v>3782</v>
      </c>
      <c r="AT21" s="1">
        <v>8366</v>
      </c>
      <c r="AU21" s="1">
        <v>4043</v>
      </c>
      <c r="AV21" s="1">
        <v>4323</v>
      </c>
      <c r="AW21" s="1">
        <v>8948</v>
      </c>
      <c r="AX21" s="1">
        <v>4322</v>
      </c>
      <c r="AY21" s="1">
        <v>4626</v>
      </c>
      <c r="AZ21" s="1">
        <v>7587</v>
      </c>
      <c r="BA21" s="1">
        <v>3447</v>
      </c>
      <c r="BB21" s="1">
        <v>4140</v>
      </c>
      <c r="BC21" s="1">
        <v>5392</v>
      </c>
      <c r="BD21" s="1">
        <v>2308</v>
      </c>
      <c r="BE21" s="1">
        <v>3084</v>
      </c>
      <c r="BF21" s="1">
        <v>12706</v>
      </c>
      <c r="BG21" s="1">
        <v>4487</v>
      </c>
      <c r="BH21" s="1">
        <v>8219</v>
      </c>
      <c r="BI21" s="1">
        <v>4104</v>
      </c>
      <c r="BJ21" s="1">
        <v>1603</v>
      </c>
      <c r="BK21" s="1">
        <v>2501</v>
      </c>
      <c r="BL21" s="1">
        <v>3706</v>
      </c>
      <c r="BM21" s="1">
        <v>1388</v>
      </c>
      <c r="BN21" s="1">
        <v>2318</v>
      </c>
      <c r="BO21" s="1">
        <v>2804</v>
      </c>
      <c r="BP21" s="1">
        <v>931</v>
      </c>
      <c r="BQ21" s="1">
        <v>1873</v>
      </c>
      <c r="BR21" s="1">
        <v>2092</v>
      </c>
      <c r="BS21" s="1">
        <v>565</v>
      </c>
      <c r="BT21" s="1">
        <v>1527</v>
      </c>
      <c r="BU21" s="1" cm="1">
        <f t="array" ref="BU21:BX21">_xlfn.XLOOKUP(A21,[9]ORGA_3362_CTAB_20231228113847!$A$2:$A$44,[9]ORGA_3362_CTAB_20231228113847!$C$2:$F$44,"--")</f>
        <v>2814</v>
      </c>
      <c r="BV21" s="1">
        <v>23.14</v>
      </c>
      <c r="BW21" s="1">
        <v>15.41</v>
      </c>
      <c r="BX21" s="1">
        <v>3.03</v>
      </c>
      <c r="BY21" s="1" cm="1">
        <f t="array" ref="BY21:CC21">_xlfn.XLOOKUP(A21,[10]RYNE_3783_CTAB_20231228114052!$A$2:$A$39,[10]RYNE_3783_CTAB_20231228114052!$C$2:$G$39,"--")</f>
        <v>168</v>
      </c>
      <c r="BZ21" s="1">
        <v>35</v>
      </c>
      <c r="CA21" s="1">
        <v>77</v>
      </c>
      <c r="CB21" s="1">
        <v>30</v>
      </c>
      <c r="CC21" s="1">
        <v>26</v>
      </c>
      <c r="CD21" s="1">
        <v>9.9</v>
      </c>
      <c r="CE21" s="1" cm="1">
        <f t="array" ref="CE21:CF21">_xlfn.XLOOKUP(A21,[12]RYNE_2276_CTAB_20231228114425!$A$2:$A$44,[12]RYNE_2276_CTAB_20231228114425!$C$2:$D$44,"--")</f>
        <v>0.18</v>
      </c>
      <c r="CF21" s="1">
        <v>4.59</v>
      </c>
      <c r="CG21" s="1" cm="1">
        <f t="array" ref="CG21:CL21">_xlfn.XLOOKUP(A21,[13]SZKO_3226_CTAB_20231228114632!$A$2:$A$25,[13]SZKO_3226_CTAB_20231228114632!$C$2:$H$25,"--")</f>
        <v>2053</v>
      </c>
      <c r="CH21" s="1">
        <v>1319</v>
      </c>
      <c r="CI21" s="1">
        <v>734</v>
      </c>
      <c r="CJ21" s="1">
        <v>403</v>
      </c>
      <c r="CK21" s="1">
        <v>276</v>
      </c>
      <c r="CL21" s="1">
        <v>127</v>
      </c>
      <c r="CM21" s="1" cm="1">
        <f t="array" ref="CM21:CN21">_xlfn.XLOOKUP(A21,[14]WYNA_2497_CTAB_20231228114756!$A$2:$A$44,[14]WYNA_2497_CTAB_20231228114756!$C$2:$D$44,"--")</f>
        <v>3490.03</v>
      </c>
      <c r="CN21" s="1">
        <v>93.2</v>
      </c>
    </row>
    <row r="22" spans="1:92" x14ac:dyDescent="0.25">
      <c r="A22">
        <v>1418000</v>
      </c>
      <c r="B22" t="s">
        <v>20</v>
      </c>
      <c r="C22" s="1">
        <v>990.4</v>
      </c>
      <c r="D22" s="1">
        <v>1001.23</v>
      </c>
      <c r="E22" s="1">
        <v>4572822.07</v>
      </c>
      <c r="F22" s="1">
        <v>2159</v>
      </c>
      <c r="G22" s="1">
        <v>131571</v>
      </c>
      <c r="H22" s="1">
        <v>1</v>
      </c>
      <c r="I22" s="1">
        <v>452.9</v>
      </c>
      <c r="J22" s="1">
        <v>1609</v>
      </c>
      <c r="K22" s="1">
        <v>6498</v>
      </c>
      <c r="L22" s="1">
        <v>19.3</v>
      </c>
      <c r="M22" s="1" cm="1">
        <f t="array" ref="M22:BT22">_xlfn.XLOOKUP(A22,[8]LUDN_2137_CTAB_20231228113344!A$2:A$44,[8]LUDN_2137_CTAB_20231228113344!C$2:BJ$44,"--")</f>
        <v>168935</v>
      </c>
      <c r="N22" s="1">
        <v>80732</v>
      </c>
      <c r="O22" s="1">
        <v>88203</v>
      </c>
      <c r="P22" s="1">
        <v>11333</v>
      </c>
      <c r="Q22" s="1">
        <v>5762</v>
      </c>
      <c r="R22" s="1">
        <v>5571</v>
      </c>
      <c r="S22" s="1">
        <v>10908</v>
      </c>
      <c r="T22" s="1">
        <v>5553</v>
      </c>
      <c r="U22" s="1">
        <v>5355</v>
      </c>
      <c r="V22" s="1">
        <v>8984</v>
      </c>
      <c r="W22" s="1">
        <v>4615</v>
      </c>
      <c r="X22" s="1">
        <v>4369</v>
      </c>
      <c r="Y22" s="1">
        <v>9051</v>
      </c>
      <c r="Z22" s="1">
        <v>4536</v>
      </c>
      <c r="AA22" s="1">
        <v>4515</v>
      </c>
      <c r="AB22" s="1">
        <v>9505</v>
      </c>
      <c r="AC22" s="1">
        <v>4865</v>
      </c>
      <c r="AD22" s="1">
        <v>4640</v>
      </c>
      <c r="AE22" s="1">
        <v>12029</v>
      </c>
      <c r="AF22" s="1">
        <v>5861</v>
      </c>
      <c r="AG22" s="1">
        <v>6168</v>
      </c>
      <c r="AH22" s="1">
        <v>15557</v>
      </c>
      <c r="AI22" s="1">
        <v>7330</v>
      </c>
      <c r="AJ22" s="1">
        <v>8227</v>
      </c>
      <c r="AK22" s="1">
        <v>16427</v>
      </c>
      <c r="AL22" s="1">
        <v>7836</v>
      </c>
      <c r="AM22" s="1">
        <v>8591</v>
      </c>
      <c r="AN22" s="1">
        <v>12892</v>
      </c>
      <c r="AO22" s="1">
        <v>6376</v>
      </c>
      <c r="AP22" s="1">
        <v>6516</v>
      </c>
      <c r="AQ22" s="1">
        <v>10032</v>
      </c>
      <c r="AR22" s="1">
        <v>4980</v>
      </c>
      <c r="AS22" s="1">
        <v>5052</v>
      </c>
      <c r="AT22" s="1">
        <v>10302</v>
      </c>
      <c r="AU22" s="1">
        <v>5048</v>
      </c>
      <c r="AV22" s="1">
        <v>5254</v>
      </c>
      <c r="AW22" s="1">
        <v>11621</v>
      </c>
      <c r="AX22" s="1">
        <v>5470</v>
      </c>
      <c r="AY22" s="1">
        <v>6151</v>
      </c>
      <c r="AZ22" s="1">
        <v>9968</v>
      </c>
      <c r="BA22" s="1">
        <v>4509</v>
      </c>
      <c r="BB22" s="1">
        <v>5459</v>
      </c>
      <c r="BC22" s="1">
        <v>6773</v>
      </c>
      <c r="BD22" s="1">
        <v>2995</v>
      </c>
      <c r="BE22" s="1">
        <v>3778</v>
      </c>
      <c r="BF22" s="1">
        <v>13553</v>
      </c>
      <c r="BG22" s="1">
        <v>4996</v>
      </c>
      <c r="BH22" s="1">
        <v>8557</v>
      </c>
      <c r="BI22" s="1">
        <v>4601</v>
      </c>
      <c r="BJ22" s="1">
        <v>1930</v>
      </c>
      <c r="BK22" s="1">
        <v>2671</v>
      </c>
      <c r="BL22" s="1">
        <v>3879</v>
      </c>
      <c r="BM22" s="1">
        <v>1507</v>
      </c>
      <c r="BN22" s="1">
        <v>2372</v>
      </c>
      <c r="BO22" s="1">
        <v>2882</v>
      </c>
      <c r="BP22" s="1">
        <v>992</v>
      </c>
      <c r="BQ22" s="1">
        <v>1890</v>
      </c>
      <c r="BR22" s="1">
        <v>2191</v>
      </c>
      <c r="BS22" s="1">
        <v>567</v>
      </c>
      <c r="BT22" s="1">
        <v>1624</v>
      </c>
      <c r="BU22" s="1" cm="1">
        <f t="array" ref="BU22:BX22">_xlfn.XLOOKUP(A22,[9]ORGA_3362_CTAB_20231228113847!$A$2:$A$44,[9]ORGA_3362_CTAB_20231228113847!$C$2:$F$44,"--")</f>
        <v>3840</v>
      </c>
      <c r="BV22" s="1">
        <v>22.92</v>
      </c>
      <c r="BW22" s="1">
        <v>16.829999999999998</v>
      </c>
      <c r="BX22" s="1">
        <v>1.84</v>
      </c>
      <c r="BY22" s="1" cm="1">
        <f t="array" ref="BY22:CC22">_xlfn.XLOOKUP(A22,[10]RYNE_3783_CTAB_20231228114052!$A$2:$A$39,[10]RYNE_3783_CTAB_20231228114052!$C$2:$G$39,"--")</f>
        <v>1316</v>
      </c>
      <c r="BZ22" s="1">
        <v>189</v>
      </c>
      <c r="CA22" s="1">
        <v>621</v>
      </c>
      <c r="CB22" s="1">
        <v>257</v>
      </c>
      <c r="CC22" s="1">
        <v>249</v>
      </c>
      <c r="CD22" s="1">
        <v>8.1999999999999993</v>
      </c>
      <c r="CE22" s="1" cm="1">
        <f t="array" ref="CE22:CF22">_xlfn.XLOOKUP(A22,[12]RYNE_2276_CTAB_20231228114425!$A$2:$A$44,[12]RYNE_2276_CTAB_20231228114425!$C$2:$D$44,"--")</f>
        <v>0.34</v>
      </c>
      <c r="CF22" s="1">
        <v>5.13</v>
      </c>
      <c r="CG22" s="1" t="str" cm="1">
        <f t="array" ref="CG22">_xlfn.XLOOKUP(A22,[13]SZKO_3226_CTAB_20231228114632!$A$2:$A$25,[13]SZKO_3226_CTAB_20231228114632!$C$2:$H$25,"--")</f>
        <v>--</v>
      </c>
      <c r="CM22" s="1" cm="1">
        <f t="array" ref="CM22:CN22">_xlfn.XLOOKUP(A22,[14]WYNA_2497_CTAB_20231228114756!$A$2:$A$44,[14]WYNA_2497_CTAB_20231228114756!$C$2:$D$44,"--")</f>
        <v>3810.36</v>
      </c>
      <c r="CN22" s="1">
        <v>101.8</v>
      </c>
    </row>
    <row r="23" spans="1:92" x14ac:dyDescent="0.25">
      <c r="A23">
        <v>1419000</v>
      </c>
      <c r="B23" t="s">
        <v>21</v>
      </c>
      <c r="C23" s="1">
        <v>766.71</v>
      </c>
      <c r="D23" s="1">
        <v>802.25</v>
      </c>
      <c r="E23" s="1">
        <v>4666394.7300000004</v>
      </c>
      <c r="F23" s="1">
        <v>1589</v>
      </c>
      <c r="G23" s="1">
        <v>17544</v>
      </c>
      <c r="H23" s="1" t="str">
        <v>--</v>
      </c>
      <c r="I23" s="1" t="str">
        <v>--</v>
      </c>
      <c r="J23" s="1">
        <v>0</v>
      </c>
      <c r="K23" s="1">
        <v>3360</v>
      </c>
      <c r="L23" s="1">
        <v>19.399999999999999</v>
      </c>
      <c r="M23" s="1" cm="1">
        <f t="array" ref="M23:BT23">_xlfn.XLOOKUP(A23,[8]LUDN_2137_CTAB_20231228113344!A$2:A$44,[8]LUDN_2137_CTAB_20231228113344!C$2:BJ$44,"--")</f>
        <v>110890</v>
      </c>
      <c r="N23" s="1">
        <v>55136</v>
      </c>
      <c r="O23" s="1">
        <v>55754</v>
      </c>
      <c r="P23" s="1">
        <v>5869</v>
      </c>
      <c r="Q23" s="1">
        <v>2984</v>
      </c>
      <c r="R23" s="1">
        <v>2885</v>
      </c>
      <c r="S23" s="1">
        <v>5801</v>
      </c>
      <c r="T23" s="1">
        <v>3023</v>
      </c>
      <c r="U23" s="1">
        <v>2778</v>
      </c>
      <c r="V23" s="1">
        <v>6296</v>
      </c>
      <c r="W23" s="1">
        <v>3257</v>
      </c>
      <c r="X23" s="1">
        <v>3039</v>
      </c>
      <c r="Y23" s="1">
        <v>7812</v>
      </c>
      <c r="Z23" s="1">
        <v>3997</v>
      </c>
      <c r="AA23" s="1">
        <v>3815</v>
      </c>
      <c r="AB23" s="1">
        <v>8539</v>
      </c>
      <c r="AC23" s="1">
        <v>4418</v>
      </c>
      <c r="AD23" s="1">
        <v>4121</v>
      </c>
      <c r="AE23" s="1">
        <v>8460</v>
      </c>
      <c r="AF23" s="1">
        <v>4444</v>
      </c>
      <c r="AG23" s="1">
        <v>4016</v>
      </c>
      <c r="AH23" s="1">
        <v>8261</v>
      </c>
      <c r="AI23" s="1">
        <v>4259</v>
      </c>
      <c r="AJ23" s="1">
        <v>4002</v>
      </c>
      <c r="AK23" s="1">
        <v>8468</v>
      </c>
      <c r="AL23" s="1">
        <v>4455</v>
      </c>
      <c r="AM23" s="1">
        <v>4013</v>
      </c>
      <c r="AN23" s="1">
        <v>7953</v>
      </c>
      <c r="AO23" s="1">
        <v>4057</v>
      </c>
      <c r="AP23" s="1">
        <v>3896</v>
      </c>
      <c r="AQ23" s="1">
        <v>7245</v>
      </c>
      <c r="AR23" s="1">
        <v>3743</v>
      </c>
      <c r="AS23" s="1">
        <v>3502</v>
      </c>
      <c r="AT23" s="1">
        <v>7369</v>
      </c>
      <c r="AU23" s="1">
        <v>3836</v>
      </c>
      <c r="AV23" s="1">
        <v>3533</v>
      </c>
      <c r="AW23" s="1">
        <v>7435</v>
      </c>
      <c r="AX23" s="1">
        <v>3789</v>
      </c>
      <c r="AY23" s="1">
        <v>3646</v>
      </c>
      <c r="AZ23" s="1">
        <v>6544</v>
      </c>
      <c r="BA23" s="1">
        <v>3131</v>
      </c>
      <c r="BB23" s="1">
        <v>3413</v>
      </c>
      <c r="BC23" s="1">
        <v>4157</v>
      </c>
      <c r="BD23" s="1">
        <v>1893</v>
      </c>
      <c r="BE23" s="1">
        <v>2264</v>
      </c>
      <c r="BF23" s="1">
        <v>10681</v>
      </c>
      <c r="BG23" s="1">
        <v>3850</v>
      </c>
      <c r="BH23" s="1">
        <v>6831</v>
      </c>
      <c r="BI23" s="1">
        <v>3528</v>
      </c>
      <c r="BJ23" s="1">
        <v>1512</v>
      </c>
      <c r="BK23" s="1">
        <v>2016</v>
      </c>
      <c r="BL23" s="1">
        <v>2880</v>
      </c>
      <c r="BM23" s="1">
        <v>1087</v>
      </c>
      <c r="BN23" s="1">
        <v>1793</v>
      </c>
      <c r="BO23" s="1">
        <v>2516</v>
      </c>
      <c r="BP23" s="1">
        <v>788</v>
      </c>
      <c r="BQ23" s="1">
        <v>1728</v>
      </c>
      <c r="BR23" s="1">
        <v>1757</v>
      </c>
      <c r="BS23" s="1">
        <v>463</v>
      </c>
      <c r="BT23" s="1">
        <v>1294</v>
      </c>
      <c r="BU23" s="1" cm="1">
        <f t="array" ref="BU23:BX23">_xlfn.XLOOKUP(A23,[9]ORGA_3362_CTAB_20231228113847!$A$2:$A$44,[9]ORGA_3362_CTAB_20231228113847!$C$2:$F$44,"--")</f>
        <v>4826</v>
      </c>
      <c r="BV23" s="1">
        <v>43.64</v>
      </c>
      <c r="BW23" s="1">
        <v>29.67</v>
      </c>
      <c r="BX23" s="1">
        <v>5.14</v>
      </c>
      <c r="BY23" s="1" t="str" cm="1">
        <f t="array" ref="BY23">_xlfn.XLOOKUP(A23,[10]RYNE_3783_CTAB_20231228114052!$A$2:$A$39,[10]RYNE_3783_CTAB_20231228114052!$C$2:$G$39,"--")</f>
        <v>--</v>
      </c>
      <c r="CD23" s="1">
        <v>21.1</v>
      </c>
      <c r="CE23" s="1" cm="1">
        <f t="array" ref="CE23:CF23">_xlfn.XLOOKUP(A23,[12]RYNE_2276_CTAB_20231228114425!$A$2:$A$44,[12]RYNE_2276_CTAB_20231228114425!$C$2:$D$44,"--")</f>
        <v>0.14000000000000001</v>
      </c>
      <c r="CF23" s="1">
        <v>8.27</v>
      </c>
      <c r="CG23" s="1" t="str" cm="1">
        <f t="array" ref="CG23">_xlfn.XLOOKUP(A23,[13]SZKO_3226_CTAB_20231228114632!$A$2:$A$25,[13]SZKO_3226_CTAB_20231228114632!$C$2:$H$25,"--")</f>
        <v>--</v>
      </c>
      <c r="CM23" s="1" cm="1">
        <f t="array" ref="CM23:CN23">_xlfn.XLOOKUP(A23,[14]WYNA_2497_CTAB_20231228114756!$A$2:$A$44,[14]WYNA_2497_CTAB_20231228114756!$C$2:$D$44,"--")</f>
        <v>3223.08</v>
      </c>
      <c r="CN23" s="1">
        <v>86.1</v>
      </c>
    </row>
    <row r="24" spans="1:92" x14ac:dyDescent="0.25">
      <c r="A24">
        <v>1420000</v>
      </c>
      <c r="B24" t="s">
        <v>22</v>
      </c>
      <c r="C24" s="1">
        <v>876.78</v>
      </c>
      <c r="D24" s="1">
        <v>913.78</v>
      </c>
      <c r="E24" s="1">
        <v>8852966.2599999998</v>
      </c>
      <c r="F24" s="1">
        <v>1567</v>
      </c>
      <c r="G24" s="1">
        <v>15237</v>
      </c>
      <c r="H24" s="1" t="str">
        <v>--</v>
      </c>
      <c r="I24" s="1" t="str">
        <v>--</v>
      </c>
      <c r="J24" s="1">
        <v>230</v>
      </c>
      <c r="K24" s="1">
        <v>4239</v>
      </c>
      <c r="L24" s="1">
        <v>16</v>
      </c>
      <c r="M24" s="1" cm="1">
        <f t="array" ref="M24:BT24">_xlfn.XLOOKUP(A24,[8]LUDN_2137_CTAB_20231228113344!A$2:A$44,[8]LUDN_2137_CTAB_20231228113344!C$2:BJ$44,"--")</f>
        <v>89025</v>
      </c>
      <c r="N24" s="1">
        <v>43873</v>
      </c>
      <c r="O24" s="1">
        <v>45152</v>
      </c>
      <c r="P24" s="1">
        <v>4651</v>
      </c>
      <c r="Q24" s="1">
        <v>2303</v>
      </c>
      <c r="R24" s="1">
        <v>2348</v>
      </c>
      <c r="S24" s="1">
        <v>4505</v>
      </c>
      <c r="T24" s="1">
        <v>2396</v>
      </c>
      <c r="U24" s="1">
        <v>2109</v>
      </c>
      <c r="V24" s="1">
        <v>4938</v>
      </c>
      <c r="W24" s="1">
        <v>2556</v>
      </c>
      <c r="X24" s="1">
        <v>2382</v>
      </c>
      <c r="Y24" s="1">
        <v>5782</v>
      </c>
      <c r="Z24" s="1">
        <v>2928</v>
      </c>
      <c r="AA24" s="1">
        <v>2854</v>
      </c>
      <c r="AB24" s="1">
        <v>6482</v>
      </c>
      <c r="AC24" s="1">
        <v>3312</v>
      </c>
      <c r="AD24" s="1">
        <v>3170</v>
      </c>
      <c r="AE24" s="1">
        <v>6957</v>
      </c>
      <c r="AF24" s="1">
        <v>3621</v>
      </c>
      <c r="AG24" s="1">
        <v>3336</v>
      </c>
      <c r="AH24" s="1">
        <v>6939</v>
      </c>
      <c r="AI24" s="1">
        <v>3721</v>
      </c>
      <c r="AJ24" s="1">
        <v>3218</v>
      </c>
      <c r="AK24" s="1">
        <v>6478</v>
      </c>
      <c r="AL24" s="1">
        <v>3357</v>
      </c>
      <c r="AM24" s="1">
        <v>3121</v>
      </c>
      <c r="AN24" s="1">
        <v>5639</v>
      </c>
      <c r="AO24" s="1">
        <v>2886</v>
      </c>
      <c r="AP24" s="1">
        <v>2753</v>
      </c>
      <c r="AQ24" s="1">
        <v>5526</v>
      </c>
      <c r="AR24" s="1">
        <v>2869</v>
      </c>
      <c r="AS24" s="1">
        <v>2657</v>
      </c>
      <c r="AT24" s="1">
        <v>6400</v>
      </c>
      <c r="AU24" s="1">
        <v>3222</v>
      </c>
      <c r="AV24" s="1">
        <v>3178</v>
      </c>
      <c r="AW24" s="1">
        <v>6735</v>
      </c>
      <c r="AX24" s="1">
        <v>3324</v>
      </c>
      <c r="AY24" s="1">
        <v>3411</v>
      </c>
      <c r="AZ24" s="1">
        <v>5560</v>
      </c>
      <c r="BA24" s="1">
        <v>2610</v>
      </c>
      <c r="BB24" s="1">
        <v>2950</v>
      </c>
      <c r="BC24" s="1">
        <v>3534</v>
      </c>
      <c r="BD24" s="1">
        <v>1591</v>
      </c>
      <c r="BE24" s="1">
        <v>1943</v>
      </c>
      <c r="BF24" s="1">
        <v>8899</v>
      </c>
      <c r="BG24" s="1">
        <v>3177</v>
      </c>
      <c r="BH24" s="1">
        <v>5722</v>
      </c>
      <c r="BI24" s="1">
        <v>2832</v>
      </c>
      <c r="BJ24" s="1">
        <v>1176</v>
      </c>
      <c r="BK24" s="1">
        <v>1656</v>
      </c>
      <c r="BL24" s="1">
        <v>2619</v>
      </c>
      <c r="BM24" s="1">
        <v>970</v>
      </c>
      <c r="BN24" s="1">
        <v>1649</v>
      </c>
      <c r="BO24" s="1">
        <v>1988</v>
      </c>
      <c r="BP24" s="1">
        <v>657</v>
      </c>
      <c r="BQ24" s="1">
        <v>1331</v>
      </c>
      <c r="BR24" s="1">
        <v>1460</v>
      </c>
      <c r="BS24" s="1">
        <v>374</v>
      </c>
      <c r="BT24" s="1">
        <v>1086</v>
      </c>
      <c r="BU24" s="1" cm="1">
        <f t="array" ref="BU24:BX24">_xlfn.XLOOKUP(A24,[9]ORGA_3362_CTAB_20231228113847!$A$2:$A$44,[9]ORGA_3362_CTAB_20231228113847!$C$2:$F$44,"--")</f>
        <v>1725</v>
      </c>
      <c r="BV24" s="1">
        <v>19.37</v>
      </c>
      <c r="BW24" s="1">
        <v>12.1</v>
      </c>
      <c r="BX24" s="1">
        <v>2.2999999999999998</v>
      </c>
      <c r="BY24" s="1" cm="1">
        <f t="array" ref="BY24:CC24">_xlfn.XLOOKUP(A24,[10]RYNE_3783_CTAB_20231228114052!$A$2:$A$39,[10]RYNE_3783_CTAB_20231228114052!$C$2:$G$39,"--")</f>
        <v>131</v>
      </c>
      <c r="BZ24" s="1">
        <v>44</v>
      </c>
      <c r="CA24" s="1">
        <v>56</v>
      </c>
      <c r="CB24" s="1">
        <v>27</v>
      </c>
      <c r="CC24" s="1">
        <v>4</v>
      </c>
      <c r="CD24" s="1">
        <v>18.100000000000001</v>
      </c>
      <c r="CE24" s="1" cm="1">
        <f t="array" ref="CE24:CF24">_xlfn.XLOOKUP(A24,[12]RYNE_2276_CTAB_20231228114425!$A$2:$A$44,[12]RYNE_2276_CTAB_20231228114425!$C$2:$D$44,"--")</f>
        <v>0.09</v>
      </c>
      <c r="CF24" s="1">
        <v>5.0599999999999996</v>
      </c>
      <c r="CG24" s="1" cm="1">
        <f t="array" ref="CG24:CL24">_xlfn.XLOOKUP(A24,[13]SZKO_3226_CTAB_20231228114632!$A$2:$A$25,[13]SZKO_3226_CTAB_20231228114632!$C$2:$H$25,"--")</f>
        <v>338</v>
      </c>
      <c r="CH24" s="1">
        <v>233</v>
      </c>
      <c r="CI24" s="1">
        <v>105</v>
      </c>
      <c r="CJ24" s="1">
        <v>129</v>
      </c>
      <c r="CK24" s="1">
        <v>93</v>
      </c>
      <c r="CL24" s="1">
        <v>36</v>
      </c>
      <c r="CM24" s="1" cm="1">
        <f t="array" ref="CM24:CN24">_xlfn.XLOOKUP(A24,[14]WYNA_2497_CTAB_20231228114756!$A$2:$A$44,[14]WYNA_2497_CTAB_20231228114756!$C$2:$D$44,"--")</f>
        <v>3261.65</v>
      </c>
      <c r="CN24" s="1">
        <v>87.1</v>
      </c>
    </row>
    <row r="25" spans="1:92" x14ac:dyDescent="0.25">
      <c r="A25">
        <v>1421000</v>
      </c>
      <c r="B25" t="s">
        <v>23</v>
      </c>
      <c r="C25" s="1">
        <v>777.1</v>
      </c>
      <c r="D25" s="1">
        <v>736.8</v>
      </c>
      <c r="E25" s="1">
        <v>1097659.76</v>
      </c>
      <c r="F25" s="1">
        <v>4572</v>
      </c>
      <c r="G25" s="1">
        <v>42644</v>
      </c>
      <c r="H25" s="1">
        <v>2</v>
      </c>
      <c r="I25" s="1">
        <v>244.5</v>
      </c>
      <c r="J25" s="1">
        <v>69</v>
      </c>
      <c r="K25" s="1">
        <v>7128</v>
      </c>
      <c r="L25" s="1">
        <v>16.2</v>
      </c>
      <c r="M25" s="1" cm="1">
        <f t="array" ref="M25:BT25">_xlfn.XLOOKUP(A25,[8]LUDN_2137_CTAB_20231228113344!A$2:A$44,[8]LUDN_2137_CTAB_20231228113344!C$2:BJ$44,"--")</f>
        <v>156807</v>
      </c>
      <c r="N25" s="1">
        <v>74485</v>
      </c>
      <c r="O25" s="1">
        <v>82322</v>
      </c>
      <c r="P25" s="1">
        <v>9417</v>
      </c>
      <c r="Q25" s="1">
        <v>4929</v>
      </c>
      <c r="R25" s="1">
        <v>4488</v>
      </c>
      <c r="S25" s="1">
        <v>8343</v>
      </c>
      <c r="T25" s="1">
        <v>4291</v>
      </c>
      <c r="U25" s="1">
        <v>4052</v>
      </c>
      <c r="V25" s="1">
        <v>7321</v>
      </c>
      <c r="W25" s="1">
        <v>3745</v>
      </c>
      <c r="X25" s="1">
        <v>3576</v>
      </c>
      <c r="Y25" s="1">
        <v>7841</v>
      </c>
      <c r="Z25" s="1">
        <v>4017</v>
      </c>
      <c r="AA25" s="1">
        <v>3824</v>
      </c>
      <c r="AB25" s="1">
        <v>8823</v>
      </c>
      <c r="AC25" s="1">
        <v>4538</v>
      </c>
      <c r="AD25" s="1">
        <v>4285</v>
      </c>
      <c r="AE25" s="1">
        <v>11766</v>
      </c>
      <c r="AF25" s="1">
        <v>5811</v>
      </c>
      <c r="AG25" s="1">
        <v>5955</v>
      </c>
      <c r="AH25" s="1">
        <v>13925</v>
      </c>
      <c r="AI25" s="1">
        <v>6714</v>
      </c>
      <c r="AJ25" s="1">
        <v>7211</v>
      </c>
      <c r="AK25" s="1">
        <v>13311</v>
      </c>
      <c r="AL25" s="1">
        <v>6432</v>
      </c>
      <c r="AM25" s="1">
        <v>6879</v>
      </c>
      <c r="AN25" s="1">
        <v>10991</v>
      </c>
      <c r="AO25" s="1">
        <v>5387</v>
      </c>
      <c r="AP25" s="1">
        <v>5604</v>
      </c>
      <c r="AQ25" s="1">
        <v>9370</v>
      </c>
      <c r="AR25" s="1">
        <v>4591</v>
      </c>
      <c r="AS25" s="1">
        <v>4779</v>
      </c>
      <c r="AT25" s="1">
        <v>10254</v>
      </c>
      <c r="AU25" s="1">
        <v>4837</v>
      </c>
      <c r="AV25" s="1">
        <v>5417</v>
      </c>
      <c r="AW25" s="1">
        <v>11978</v>
      </c>
      <c r="AX25" s="1">
        <v>5566</v>
      </c>
      <c r="AY25" s="1">
        <v>6412</v>
      </c>
      <c r="AZ25" s="1">
        <v>10457</v>
      </c>
      <c r="BA25" s="1">
        <v>4632</v>
      </c>
      <c r="BB25" s="1">
        <v>5825</v>
      </c>
      <c r="BC25" s="1">
        <v>7246</v>
      </c>
      <c r="BD25" s="1">
        <v>3075</v>
      </c>
      <c r="BE25" s="1">
        <v>4171</v>
      </c>
      <c r="BF25" s="1">
        <v>15764</v>
      </c>
      <c r="BG25" s="1">
        <v>5920</v>
      </c>
      <c r="BH25" s="1">
        <v>9844</v>
      </c>
      <c r="BI25" s="1">
        <v>5510</v>
      </c>
      <c r="BJ25" s="1">
        <v>2278</v>
      </c>
      <c r="BK25" s="1">
        <v>3232</v>
      </c>
      <c r="BL25" s="1">
        <v>4502</v>
      </c>
      <c r="BM25" s="1">
        <v>1809</v>
      </c>
      <c r="BN25" s="1">
        <v>2693</v>
      </c>
      <c r="BO25" s="1">
        <v>3275</v>
      </c>
      <c r="BP25" s="1">
        <v>1154</v>
      </c>
      <c r="BQ25" s="1">
        <v>2121</v>
      </c>
      <c r="BR25" s="1">
        <v>2477</v>
      </c>
      <c r="BS25" s="1">
        <v>679</v>
      </c>
      <c r="BT25" s="1">
        <v>1798</v>
      </c>
      <c r="BU25" s="1" cm="1">
        <f t="array" ref="BU25:BX25">_xlfn.XLOOKUP(A25,[9]ORGA_3362_CTAB_20231228113847!$A$2:$A$44,[9]ORGA_3362_CTAB_20231228113847!$C$2:$F$44,"--")</f>
        <v>3632</v>
      </c>
      <c r="BV25" s="1">
        <v>23.24</v>
      </c>
      <c r="BW25" s="1">
        <v>17.38</v>
      </c>
      <c r="BX25" s="1">
        <v>2.23</v>
      </c>
      <c r="BY25" s="1" cm="1">
        <f t="array" ref="BY25:CC25">_xlfn.XLOOKUP(A25,[10]RYNE_3783_CTAB_20231228114052!$A$2:$A$39,[10]RYNE_3783_CTAB_20231228114052!$C$2:$G$39,"--")</f>
        <v>600</v>
      </c>
      <c r="BZ25" s="1">
        <v>109</v>
      </c>
      <c r="CA25" s="1">
        <v>299</v>
      </c>
      <c r="CB25" s="1">
        <v>123</v>
      </c>
      <c r="CC25" s="1">
        <v>69</v>
      </c>
      <c r="CD25" s="1">
        <v>8</v>
      </c>
      <c r="CE25" s="1" cm="1">
        <f t="array" ref="CE25:CF25">_xlfn.XLOOKUP(A25,[12]RYNE_2276_CTAB_20231228114425!$A$2:$A$44,[12]RYNE_2276_CTAB_20231228114425!$C$2:$D$44,"--")</f>
        <v>0.37</v>
      </c>
      <c r="CF25" s="1">
        <v>6.04</v>
      </c>
      <c r="CG25" s="1" cm="1">
        <f t="array" ref="CG25:CL25">_xlfn.XLOOKUP(A25,[13]SZKO_3226_CTAB_20231228114632!$A$2:$A$25,[13]SZKO_3226_CTAB_20231228114632!$C$2:$H$25,"--")</f>
        <v>580</v>
      </c>
      <c r="CH25" s="1">
        <v>175</v>
      </c>
      <c r="CI25" s="1">
        <v>405</v>
      </c>
      <c r="CJ25" s="1">
        <v>164</v>
      </c>
      <c r="CK25" s="1">
        <v>51</v>
      </c>
      <c r="CL25" s="1">
        <v>113</v>
      </c>
      <c r="CM25" s="1" cm="1">
        <f t="array" ref="CM25:CN25">_xlfn.XLOOKUP(A25,[14]WYNA_2497_CTAB_20231228114756!$A$2:$A$44,[14]WYNA_2497_CTAB_20231228114756!$C$2:$D$44,"--")</f>
        <v>4402.16</v>
      </c>
      <c r="CN25" s="1">
        <v>117.6</v>
      </c>
    </row>
    <row r="26" spans="1:92" x14ac:dyDescent="0.25">
      <c r="A26">
        <v>1422000</v>
      </c>
      <c r="B26" t="s">
        <v>24</v>
      </c>
      <c r="C26" s="1">
        <v>1225.06</v>
      </c>
      <c r="D26" s="1">
        <v>1153.6099999999999</v>
      </c>
      <c r="E26" s="1">
        <v>8249693.1900000004</v>
      </c>
      <c r="F26" s="1">
        <v>733</v>
      </c>
      <c r="G26" s="1">
        <v>15970</v>
      </c>
      <c r="H26" s="1">
        <v>1</v>
      </c>
      <c r="I26" s="1">
        <v>513.4</v>
      </c>
      <c r="J26" s="1">
        <v>210</v>
      </c>
      <c r="K26" s="1">
        <v>2561</v>
      </c>
      <c r="L26" s="1">
        <v>16.2</v>
      </c>
      <c r="M26" s="1" cm="1">
        <f t="array" ref="M26:BT26">_xlfn.XLOOKUP(A26,[8]LUDN_2137_CTAB_20231228113344!A$2:A$44,[8]LUDN_2137_CTAB_20231228113344!C$2:BJ$44,"--")</f>
        <v>53791</v>
      </c>
      <c r="N26" s="1">
        <v>26783</v>
      </c>
      <c r="O26" s="1">
        <v>27008</v>
      </c>
      <c r="P26" s="1">
        <v>3083</v>
      </c>
      <c r="Q26" s="1">
        <v>1558</v>
      </c>
      <c r="R26" s="1">
        <v>1525</v>
      </c>
      <c r="S26" s="1">
        <v>2975</v>
      </c>
      <c r="T26" s="1">
        <v>1473</v>
      </c>
      <c r="U26" s="1">
        <v>1502</v>
      </c>
      <c r="V26" s="1">
        <v>3161</v>
      </c>
      <c r="W26" s="1">
        <v>1620</v>
      </c>
      <c r="X26" s="1">
        <v>1541</v>
      </c>
      <c r="Y26" s="1">
        <v>3654</v>
      </c>
      <c r="Z26" s="1">
        <v>1842</v>
      </c>
      <c r="AA26" s="1">
        <v>1812</v>
      </c>
      <c r="AB26" s="1">
        <v>4217</v>
      </c>
      <c r="AC26" s="1">
        <v>2214</v>
      </c>
      <c r="AD26" s="1">
        <v>2003</v>
      </c>
      <c r="AE26" s="1">
        <v>4299</v>
      </c>
      <c r="AF26" s="1">
        <v>2264</v>
      </c>
      <c r="AG26" s="1">
        <v>2035</v>
      </c>
      <c r="AH26" s="1">
        <v>3990</v>
      </c>
      <c r="AI26" s="1">
        <v>2133</v>
      </c>
      <c r="AJ26" s="1">
        <v>1857</v>
      </c>
      <c r="AK26" s="1">
        <v>3697</v>
      </c>
      <c r="AL26" s="1">
        <v>1945</v>
      </c>
      <c r="AM26" s="1">
        <v>1752</v>
      </c>
      <c r="AN26" s="1">
        <v>3307</v>
      </c>
      <c r="AO26" s="1">
        <v>1789</v>
      </c>
      <c r="AP26" s="1">
        <v>1518</v>
      </c>
      <c r="AQ26" s="1">
        <v>3483</v>
      </c>
      <c r="AR26" s="1">
        <v>1830</v>
      </c>
      <c r="AS26" s="1">
        <v>1653</v>
      </c>
      <c r="AT26" s="1">
        <v>3816</v>
      </c>
      <c r="AU26" s="1">
        <v>1965</v>
      </c>
      <c r="AV26" s="1">
        <v>1851</v>
      </c>
      <c r="AW26" s="1">
        <v>3820</v>
      </c>
      <c r="AX26" s="1">
        <v>1955</v>
      </c>
      <c r="AY26" s="1">
        <v>1865</v>
      </c>
      <c r="AZ26" s="1">
        <v>3075</v>
      </c>
      <c r="BA26" s="1">
        <v>1524</v>
      </c>
      <c r="BB26" s="1">
        <v>1551</v>
      </c>
      <c r="BC26" s="1">
        <v>1774</v>
      </c>
      <c r="BD26" s="1">
        <v>788</v>
      </c>
      <c r="BE26" s="1">
        <v>986</v>
      </c>
      <c r="BF26" s="1">
        <v>5440</v>
      </c>
      <c r="BG26" s="1">
        <v>1883</v>
      </c>
      <c r="BH26" s="1">
        <v>3557</v>
      </c>
      <c r="BI26" s="1">
        <v>1748</v>
      </c>
      <c r="BJ26" s="1">
        <v>681</v>
      </c>
      <c r="BK26" s="1">
        <v>1067</v>
      </c>
      <c r="BL26" s="1">
        <v>1609</v>
      </c>
      <c r="BM26" s="1">
        <v>572</v>
      </c>
      <c r="BN26" s="1">
        <v>1037</v>
      </c>
      <c r="BO26" s="1">
        <v>1267</v>
      </c>
      <c r="BP26" s="1">
        <v>412</v>
      </c>
      <c r="BQ26" s="1">
        <v>855</v>
      </c>
      <c r="BR26" s="1">
        <v>816</v>
      </c>
      <c r="BS26" s="1">
        <v>218</v>
      </c>
      <c r="BT26" s="1">
        <v>598</v>
      </c>
      <c r="BU26" s="1" cm="1">
        <f t="array" ref="BU26:BX26">_xlfn.XLOOKUP(A26,[9]ORGA_3362_CTAB_20231228113847!$A$2:$A$44,[9]ORGA_3362_CTAB_20231228113847!$C$2:$F$44,"--")</f>
        <v>1377</v>
      </c>
      <c r="BV26" s="1">
        <v>25.55</v>
      </c>
      <c r="BW26" s="1">
        <v>13.69</v>
      </c>
      <c r="BX26" s="1">
        <v>2.95</v>
      </c>
      <c r="BY26" s="1" cm="1">
        <f t="array" ref="BY26:CC26">_xlfn.XLOOKUP(A26,[10]RYNE_3783_CTAB_20231228114052!$A$2:$A$39,[10]RYNE_3783_CTAB_20231228114052!$C$2:$G$39,"--")</f>
        <v>59</v>
      </c>
      <c r="BZ26" s="1">
        <v>11</v>
      </c>
      <c r="CA26" s="1">
        <v>35</v>
      </c>
      <c r="CB26" s="1">
        <v>10</v>
      </c>
      <c r="CC26" s="1">
        <v>3</v>
      </c>
      <c r="CD26" s="1">
        <v>16.8</v>
      </c>
      <c r="CE26" s="1" cm="1">
        <f t="array" ref="CE26:CF26">_xlfn.XLOOKUP(A26,[12]RYNE_2276_CTAB_20231228114425!$A$2:$A$44,[12]RYNE_2276_CTAB_20231228114425!$C$2:$D$44,"--")</f>
        <v>0.04</v>
      </c>
      <c r="CF26" s="1">
        <v>3.82</v>
      </c>
      <c r="CG26" s="1" cm="1">
        <f t="array" ref="CG26:CL26">_xlfn.XLOOKUP(A26,[13]SZKO_3226_CTAB_20231228114632!$A$2:$A$25,[13]SZKO_3226_CTAB_20231228114632!$C$2:$H$25,"--")</f>
        <v>72</v>
      </c>
      <c r="CH26" s="1">
        <v>60</v>
      </c>
      <c r="CI26" s="1">
        <v>12</v>
      </c>
      <c r="CJ26" s="1">
        <v>25</v>
      </c>
      <c r="CK26" s="1">
        <v>21</v>
      </c>
      <c r="CL26" s="1">
        <v>4</v>
      </c>
      <c r="CM26" s="1" cm="1">
        <f t="array" ref="CM26:CN26">_xlfn.XLOOKUP(A26,[14]WYNA_2497_CTAB_20231228114756!$A$2:$A$44,[14]WYNA_2497_CTAB_20231228114756!$C$2:$D$44,"--")</f>
        <v>3203.61</v>
      </c>
      <c r="CN26" s="1">
        <v>85.6</v>
      </c>
    </row>
    <row r="27" spans="1:92" x14ac:dyDescent="0.25">
      <c r="A27">
        <v>1423000</v>
      </c>
      <c r="B27" t="s">
        <v>25</v>
      </c>
      <c r="C27" s="1">
        <v>1394.79</v>
      </c>
      <c r="D27" s="1">
        <v>1386.58</v>
      </c>
      <c r="E27" s="1">
        <v>2299691.88</v>
      </c>
      <c r="F27" s="1">
        <v>1188</v>
      </c>
      <c r="G27" s="1">
        <v>9426</v>
      </c>
      <c r="H27" s="1">
        <v>1</v>
      </c>
      <c r="I27" s="1">
        <v>862.4</v>
      </c>
      <c r="J27" s="1">
        <v>361</v>
      </c>
      <c r="K27" s="1">
        <v>2277</v>
      </c>
      <c r="L27" s="1">
        <v>16.5</v>
      </c>
      <c r="M27" s="1" cm="1">
        <f t="array" ref="M27:BT27">_xlfn.XLOOKUP(A27,[8]LUDN_2137_CTAB_20231228113344!A$2:A$44,[8]LUDN_2137_CTAB_20231228113344!C$2:BJ$44,"--")</f>
        <v>43271</v>
      </c>
      <c r="N27" s="1">
        <v>21482</v>
      </c>
      <c r="O27" s="1">
        <v>21789</v>
      </c>
      <c r="P27" s="1">
        <v>2089</v>
      </c>
      <c r="Q27" s="1">
        <v>1066</v>
      </c>
      <c r="R27" s="1">
        <v>1023</v>
      </c>
      <c r="S27" s="1">
        <v>1975</v>
      </c>
      <c r="T27" s="1">
        <v>993</v>
      </c>
      <c r="U27" s="1">
        <v>982</v>
      </c>
      <c r="V27" s="1">
        <v>2372</v>
      </c>
      <c r="W27" s="1">
        <v>1175</v>
      </c>
      <c r="X27" s="1">
        <v>1197</v>
      </c>
      <c r="Y27" s="1">
        <v>3138</v>
      </c>
      <c r="Z27" s="1">
        <v>1609</v>
      </c>
      <c r="AA27" s="1">
        <v>1529</v>
      </c>
      <c r="AB27" s="1">
        <v>3339</v>
      </c>
      <c r="AC27" s="1">
        <v>1757</v>
      </c>
      <c r="AD27" s="1">
        <v>1582</v>
      </c>
      <c r="AE27" s="1">
        <v>3360</v>
      </c>
      <c r="AF27" s="1">
        <v>1749</v>
      </c>
      <c r="AG27" s="1">
        <v>1611</v>
      </c>
      <c r="AH27" s="1">
        <v>3098</v>
      </c>
      <c r="AI27" s="1">
        <v>1685</v>
      </c>
      <c r="AJ27" s="1">
        <v>1413</v>
      </c>
      <c r="AK27" s="1">
        <v>2843</v>
      </c>
      <c r="AL27" s="1">
        <v>1560</v>
      </c>
      <c r="AM27" s="1">
        <v>1283</v>
      </c>
      <c r="AN27" s="1">
        <v>2646</v>
      </c>
      <c r="AO27" s="1">
        <v>1380</v>
      </c>
      <c r="AP27" s="1">
        <v>1266</v>
      </c>
      <c r="AQ27" s="1">
        <v>2833</v>
      </c>
      <c r="AR27" s="1">
        <v>1487</v>
      </c>
      <c r="AS27" s="1">
        <v>1346</v>
      </c>
      <c r="AT27" s="1">
        <v>3141</v>
      </c>
      <c r="AU27" s="1">
        <v>1661</v>
      </c>
      <c r="AV27" s="1">
        <v>1480</v>
      </c>
      <c r="AW27" s="1">
        <v>2928</v>
      </c>
      <c r="AX27" s="1">
        <v>1576</v>
      </c>
      <c r="AY27" s="1">
        <v>1352</v>
      </c>
      <c r="AZ27" s="1">
        <v>2513</v>
      </c>
      <c r="BA27" s="1">
        <v>1220</v>
      </c>
      <c r="BB27" s="1">
        <v>1293</v>
      </c>
      <c r="BC27" s="1">
        <v>1797</v>
      </c>
      <c r="BD27" s="1">
        <v>781</v>
      </c>
      <c r="BE27" s="1">
        <v>1016</v>
      </c>
      <c r="BF27" s="1">
        <v>5199</v>
      </c>
      <c r="BG27" s="1">
        <v>1783</v>
      </c>
      <c r="BH27" s="1">
        <v>3416</v>
      </c>
      <c r="BI27" s="1">
        <v>1494</v>
      </c>
      <c r="BJ27" s="1">
        <v>583</v>
      </c>
      <c r="BK27" s="1">
        <v>911</v>
      </c>
      <c r="BL27" s="1">
        <v>1634</v>
      </c>
      <c r="BM27" s="1">
        <v>586</v>
      </c>
      <c r="BN27" s="1">
        <v>1048</v>
      </c>
      <c r="BO27" s="1">
        <v>1258</v>
      </c>
      <c r="BP27" s="1">
        <v>405</v>
      </c>
      <c r="BQ27" s="1">
        <v>853</v>
      </c>
      <c r="BR27" s="1">
        <v>813</v>
      </c>
      <c r="BS27" s="1">
        <v>209</v>
      </c>
      <c r="BT27" s="1">
        <v>604</v>
      </c>
      <c r="BU27" s="1" cm="1">
        <f t="array" ref="BU27:BX27">_xlfn.XLOOKUP(A27,[9]ORGA_3362_CTAB_20231228113847!$A$2:$A$44,[9]ORGA_3362_CTAB_20231228113847!$C$2:$F$44,"--")</f>
        <v>741</v>
      </c>
      <c r="BV27" s="1">
        <v>17.09</v>
      </c>
      <c r="BW27" s="1">
        <v>10.98</v>
      </c>
      <c r="BX27" s="1">
        <v>2.08</v>
      </c>
      <c r="BY27" s="1" cm="1">
        <f t="array" ref="BY27:CC27">_xlfn.XLOOKUP(A27,[10]RYNE_3783_CTAB_20231228114052!$A$2:$A$39,[10]RYNE_3783_CTAB_20231228114052!$C$2:$G$39,"--")</f>
        <v>8</v>
      </c>
      <c r="BZ27" s="1">
        <v>3</v>
      </c>
      <c r="CA27" s="1">
        <v>5</v>
      </c>
      <c r="CB27" s="1">
        <v>0</v>
      </c>
      <c r="CC27" s="1">
        <v>0</v>
      </c>
      <c r="CD27" s="1">
        <v>27.8</v>
      </c>
      <c r="CE27" s="1" cm="1">
        <f t="array" ref="CE27:CF27">_xlfn.XLOOKUP(A27,[12]RYNE_2276_CTAB_20231228114425!$A$2:$A$44,[12]RYNE_2276_CTAB_20231228114425!$C$2:$D$44,"--")</f>
        <v>0.01</v>
      </c>
      <c r="CF27" s="1">
        <v>1.92</v>
      </c>
      <c r="CG27" s="1" t="str" cm="1">
        <f t="array" ref="CG27">_xlfn.XLOOKUP(A27,[13]SZKO_3226_CTAB_20231228114632!$A$2:$A$25,[13]SZKO_3226_CTAB_20231228114632!$C$2:$H$25,"--")</f>
        <v>--</v>
      </c>
      <c r="CM27" s="1" cm="1">
        <f t="array" ref="CM27:CN27">_xlfn.XLOOKUP(A27,[14]WYNA_2497_CTAB_20231228114756!$A$2:$A$44,[14]WYNA_2497_CTAB_20231228114756!$C$2:$D$44,"--")</f>
        <v>3062.87</v>
      </c>
      <c r="CN27" s="1">
        <v>81.8</v>
      </c>
    </row>
    <row r="28" spans="1:92" x14ac:dyDescent="0.25">
      <c r="A28">
        <v>1424000</v>
      </c>
      <c r="B28" t="s">
        <v>26</v>
      </c>
      <c r="C28" s="1">
        <v>1076.68</v>
      </c>
      <c r="D28" s="1">
        <v>1118.43</v>
      </c>
      <c r="E28" s="1">
        <v>3605344.47</v>
      </c>
      <c r="F28" s="1">
        <v>935</v>
      </c>
      <c r="G28" s="1">
        <v>9430</v>
      </c>
      <c r="H28" s="1">
        <v>1</v>
      </c>
      <c r="I28" s="1">
        <v>1395.3</v>
      </c>
      <c r="J28" s="1">
        <v>228</v>
      </c>
      <c r="K28" s="1">
        <v>3671</v>
      </c>
      <c r="L28" s="1">
        <v>17.3</v>
      </c>
      <c r="M28" s="1" cm="1">
        <f t="array" ref="M28:BT28">_xlfn.XLOOKUP(A28,[8]LUDN_2137_CTAB_20231228113344!A$2:A$44,[8]LUDN_2137_CTAB_20231228113344!C$2:BJ$44,"--")</f>
        <v>51391</v>
      </c>
      <c r="N28" s="1">
        <v>25436</v>
      </c>
      <c r="O28" s="1">
        <v>25955</v>
      </c>
      <c r="P28" s="1">
        <v>2853</v>
      </c>
      <c r="Q28" s="1">
        <v>1479</v>
      </c>
      <c r="R28" s="1">
        <v>1374</v>
      </c>
      <c r="S28" s="1">
        <v>2698</v>
      </c>
      <c r="T28" s="1">
        <v>1388</v>
      </c>
      <c r="U28" s="1">
        <v>1310</v>
      </c>
      <c r="V28" s="1">
        <v>2877</v>
      </c>
      <c r="W28" s="1">
        <v>1480</v>
      </c>
      <c r="X28" s="1">
        <v>1397</v>
      </c>
      <c r="Y28" s="1">
        <v>3455</v>
      </c>
      <c r="Z28" s="1">
        <v>1710</v>
      </c>
      <c r="AA28" s="1">
        <v>1745</v>
      </c>
      <c r="AB28" s="1">
        <v>3950</v>
      </c>
      <c r="AC28" s="1">
        <v>2025</v>
      </c>
      <c r="AD28" s="1">
        <v>1925</v>
      </c>
      <c r="AE28" s="1">
        <v>4054</v>
      </c>
      <c r="AF28" s="1">
        <v>2090</v>
      </c>
      <c r="AG28" s="1">
        <v>1964</v>
      </c>
      <c r="AH28" s="1">
        <v>4032</v>
      </c>
      <c r="AI28" s="1">
        <v>2097</v>
      </c>
      <c r="AJ28" s="1">
        <v>1935</v>
      </c>
      <c r="AK28" s="1">
        <v>3762</v>
      </c>
      <c r="AL28" s="1">
        <v>1965</v>
      </c>
      <c r="AM28" s="1">
        <v>1797</v>
      </c>
      <c r="AN28" s="1">
        <v>3260</v>
      </c>
      <c r="AO28" s="1">
        <v>1732</v>
      </c>
      <c r="AP28" s="1">
        <v>1528</v>
      </c>
      <c r="AQ28" s="1">
        <v>3101</v>
      </c>
      <c r="AR28" s="1">
        <v>1571</v>
      </c>
      <c r="AS28" s="1">
        <v>1530</v>
      </c>
      <c r="AT28" s="1">
        <v>3644</v>
      </c>
      <c r="AU28" s="1">
        <v>1872</v>
      </c>
      <c r="AV28" s="1">
        <v>1772</v>
      </c>
      <c r="AW28" s="1">
        <v>3674</v>
      </c>
      <c r="AX28" s="1">
        <v>1844</v>
      </c>
      <c r="AY28" s="1">
        <v>1830</v>
      </c>
      <c r="AZ28" s="1">
        <v>3116</v>
      </c>
      <c r="BA28" s="1">
        <v>1474</v>
      </c>
      <c r="BB28" s="1">
        <v>1642</v>
      </c>
      <c r="BC28" s="1">
        <v>1823</v>
      </c>
      <c r="BD28" s="1">
        <v>846</v>
      </c>
      <c r="BE28" s="1">
        <v>977</v>
      </c>
      <c r="BF28" s="1">
        <v>5092</v>
      </c>
      <c r="BG28" s="1">
        <v>1863</v>
      </c>
      <c r="BH28" s="1">
        <v>3229</v>
      </c>
      <c r="BI28" s="1">
        <v>1699</v>
      </c>
      <c r="BJ28" s="1">
        <v>703</v>
      </c>
      <c r="BK28" s="1">
        <v>996</v>
      </c>
      <c r="BL28" s="1">
        <v>1430</v>
      </c>
      <c r="BM28" s="1">
        <v>548</v>
      </c>
      <c r="BN28" s="1">
        <v>882</v>
      </c>
      <c r="BO28" s="1">
        <v>1167</v>
      </c>
      <c r="BP28" s="1">
        <v>381</v>
      </c>
      <c r="BQ28" s="1">
        <v>786</v>
      </c>
      <c r="BR28" s="1">
        <v>796</v>
      </c>
      <c r="BS28" s="1">
        <v>231</v>
      </c>
      <c r="BT28" s="1">
        <v>565</v>
      </c>
      <c r="BU28" s="1" cm="1">
        <f t="array" ref="BU28:BX28">_xlfn.XLOOKUP(A28,[9]ORGA_3362_CTAB_20231228113847!$A$2:$A$44,[9]ORGA_3362_CTAB_20231228113847!$C$2:$F$44,"--")</f>
        <v>1418</v>
      </c>
      <c r="BV28" s="1">
        <v>27.61</v>
      </c>
      <c r="BW28" s="1">
        <v>16.649999999999999</v>
      </c>
      <c r="BX28" s="1">
        <v>1.34</v>
      </c>
      <c r="BY28" s="1" cm="1">
        <f t="array" ref="BY28:CC28">_xlfn.XLOOKUP(A28,[10]RYNE_3783_CTAB_20231228114052!$A$2:$A$39,[10]RYNE_3783_CTAB_20231228114052!$C$2:$G$39,"--")</f>
        <v>101</v>
      </c>
      <c r="BZ28" s="1">
        <v>31</v>
      </c>
      <c r="CA28" s="1">
        <v>52</v>
      </c>
      <c r="CB28" s="1">
        <v>16</v>
      </c>
      <c r="CC28" s="1">
        <v>0</v>
      </c>
      <c r="CD28" s="1">
        <v>23.3</v>
      </c>
      <c r="CE28" s="1" cm="1">
        <f t="array" ref="CE28:CF28">_xlfn.XLOOKUP(A28,[12]RYNE_2276_CTAB_20231228114425!$A$2:$A$44,[12]RYNE_2276_CTAB_20231228114425!$C$2:$D$44,"--")</f>
        <v>0.05</v>
      </c>
      <c r="CF28" s="1">
        <v>5.08</v>
      </c>
      <c r="CG28" s="1" cm="1">
        <f t="array" ref="CG28:CL28">_xlfn.XLOOKUP(A28,[13]SZKO_3226_CTAB_20231228114632!$A$2:$A$25,[13]SZKO_3226_CTAB_20231228114632!$C$2:$H$25,"--")</f>
        <v>2205</v>
      </c>
      <c r="CH28" s="1">
        <v>1555</v>
      </c>
      <c r="CI28" s="1">
        <v>650</v>
      </c>
      <c r="CJ28" s="1">
        <v>1227</v>
      </c>
      <c r="CK28" s="1">
        <v>888</v>
      </c>
      <c r="CL28" s="1">
        <v>339</v>
      </c>
      <c r="CM28" s="1" cm="1">
        <f t="array" ref="CM28:CN28">_xlfn.XLOOKUP(A28,[14]WYNA_2497_CTAB_20231228114756!$A$2:$A$44,[14]WYNA_2497_CTAB_20231228114756!$C$2:$D$44,"--")</f>
        <v>3094.05</v>
      </c>
      <c r="CN28" s="1">
        <v>82.6</v>
      </c>
    </row>
    <row r="29" spans="1:92" x14ac:dyDescent="0.25">
      <c r="A29">
        <v>1425000</v>
      </c>
      <c r="B29" t="s">
        <v>27</v>
      </c>
      <c r="C29" s="1">
        <v>743.63</v>
      </c>
      <c r="D29" s="1">
        <v>752.28</v>
      </c>
      <c r="E29" s="1">
        <v>1298823.97</v>
      </c>
      <c r="F29" s="1">
        <v>477</v>
      </c>
      <c r="G29" s="1">
        <v>6377</v>
      </c>
      <c r="H29" s="1">
        <v>2</v>
      </c>
      <c r="I29" s="1">
        <v>795</v>
      </c>
      <c r="J29" s="1">
        <v>0</v>
      </c>
      <c r="K29" s="1">
        <v>3587</v>
      </c>
      <c r="L29" s="1">
        <v>17.3</v>
      </c>
      <c r="M29" s="1" cm="1">
        <f t="array" ref="M29:BT29">_xlfn.XLOOKUP(A29,[8]LUDN_2137_CTAB_20231228113344!A$2:A$44,[8]LUDN_2137_CTAB_20231228113344!C$2:BJ$44,"--")</f>
        <v>150668</v>
      </c>
      <c r="N29" s="1">
        <v>75045</v>
      </c>
      <c r="O29" s="1">
        <v>75623</v>
      </c>
      <c r="P29" s="1">
        <v>8697</v>
      </c>
      <c r="Q29" s="1">
        <v>4469</v>
      </c>
      <c r="R29" s="1">
        <v>4228</v>
      </c>
      <c r="S29" s="1">
        <v>8429</v>
      </c>
      <c r="T29" s="1">
        <v>4347</v>
      </c>
      <c r="U29" s="1">
        <v>4082</v>
      </c>
      <c r="V29" s="1">
        <v>9091</v>
      </c>
      <c r="W29" s="1">
        <v>4677</v>
      </c>
      <c r="X29" s="1">
        <v>4414</v>
      </c>
      <c r="Y29" s="1">
        <v>10598</v>
      </c>
      <c r="Z29" s="1">
        <v>5443</v>
      </c>
      <c r="AA29" s="1">
        <v>5155</v>
      </c>
      <c r="AB29" s="1">
        <v>11964</v>
      </c>
      <c r="AC29" s="1">
        <v>6160</v>
      </c>
      <c r="AD29" s="1">
        <v>5804</v>
      </c>
      <c r="AE29" s="1">
        <v>12568</v>
      </c>
      <c r="AF29" s="1">
        <v>6553</v>
      </c>
      <c r="AG29" s="1">
        <v>6015</v>
      </c>
      <c r="AH29" s="1">
        <v>12265</v>
      </c>
      <c r="AI29" s="1">
        <v>6472</v>
      </c>
      <c r="AJ29" s="1">
        <v>5793</v>
      </c>
      <c r="AK29" s="1">
        <v>11289</v>
      </c>
      <c r="AL29" s="1">
        <v>5860</v>
      </c>
      <c r="AM29" s="1">
        <v>5429</v>
      </c>
      <c r="AN29" s="1">
        <v>9555</v>
      </c>
      <c r="AO29" s="1">
        <v>4945</v>
      </c>
      <c r="AP29" s="1">
        <v>4610</v>
      </c>
      <c r="AQ29" s="1">
        <v>9132</v>
      </c>
      <c r="AR29" s="1">
        <v>4667</v>
      </c>
      <c r="AS29" s="1">
        <v>4465</v>
      </c>
      <c r="AT29" s="1">
        <v>10141</v>
      </c>
      <c r="AU29" s="1">
        <v>5189</v>
      </c>
      <c r="AV29" s="1">
        <v>4952</v>
      </c>
      <c r="AW29" s="1">
        <v>10556</v>
      </c>
      <c r="AX29" s="1">
        <v>5277</v>
      </c>
      <c r="AY29" s="1">
        <v>5279</v>
      </c>
      <c r="AZ29" s="1">
        <v>8268</v>
      </c>
      <c r="BA29" s="1">
        <v>4053</v>
      </c>
      <c r="BB29" s="1">
        <v>4215</v>
      </c>
      <c r="BC29" s="1">
        <v>5305</v>
      </c>
      <c r="BD29" s="1">
        <v>2405</v>
      </c>
      <c r="BE29" s="1">
        <v>2900</v>
      </c>
      <c r="BF29" s="1">
        <v>12810</v>
      </c>
      <c r="BG29" s="1">
        <v>4528</v>
      </c>
      <c r="BH29" s="1">
        <v>8282</v>
      </c>
      <c r="BI29" s="1">
        <v>3922</v>
      </c>
      <c r="BJ29" s="1">
        <v>1598</v>
      </c>
      <c r="BK29" s="1">
        <v>2324</v>
      </c>
      <c r="BL29" s="1">
        <v>3694</v>
      </c>
      <c r="BM29" s="1">
        <v>1397</v>
      </c>
      <c r="BN29" s="1">
        <v>2297</v>
      </c>
      <c r="BO29" s="1">
        <v>3024</v>
      </c>
      <c r="BP29" s="1">
        <v>980</v>
      </c>
      <c r="BQ29" s="1">
        <v>2044</v>
      </c>
      <c r="BR29" s="1">
        <v>2170</v>
      </c>
      <c r="BS29" s="1">
        <v>553</v>
      </c>
      <c r="BT29" s="1">
        <v>1617</v>
      </c>
      <c r="BU29" s="1" cm="1">
        <f t="array" ref="BU29:BX29">_xlfn.XLOOKUP(A29,[9]ORGA_3362_CTAB_20231228113847!$A$2:$A$44,[9]ORGA_3362_CTAB_20231228113847!$C$2:$F$44,"--")</f>
        <v>8798</v>
      </c>
      <c r="BV29" s="1">
        <v>58.53</v>
      </c>
      <c r="BW29" s="1">
        <v>39.409999999999997</v>
      </c>
      <c r="BX29" s="1">
        <v>4.47</v>
      </c>
      <c r="BY29" s="1" cm="1">
        <f t="array" ref="BY29:CC29">_xlfn.XLOOKUP(A29,[10]RYNE_3783_CTAB_20231228114052!$A$2:$A$39,[10]RYNE_3783_CTAB_20231228114052!$C$2:$G$39,"--")</f>
        <v>29</v>
      </c>
      <c r="BZ29" s="1">
        <v>8</v>
      </c>
      <c r="CA29" s="1">
        <v>18</v>
      </c>
      <c r="CB29" s="1">
        <v>0</v>
      </c>
      <c r="CC29" s="1">
        <v>0</v>
      </c>
      <c r="CD29" s="1">
        <v>30.3</v>
      </c>
      <c r="CE29" s="1" cm="1">
        <f t="array" ref="CE29:CF29">_xlfn.XLOOKUP(A29,[12]RYNE_2276_CTAB_20231228114425!$A$2:$A$44,[12]RYNE_2276_CTAB_20231228114425!$C$2:$D$44,"--")</f>
        <v>0.1</v>
      </c>
      <c r="CF29" s="1">
        <v>4.0599999999999996</v>
      </c>
      <c r="CG29" s="1" t="str" cm="1">
        <f t="array" ref="CG29">_xlfn.XLOOKUP(A29,[13]SZKO_3226_CTAB_20231228114632!$A$2:$A$25,[13]SZKO_3226_CTAB_20231228114632!$C$2:$H$25,"--")</f>
        <v>--</v>
      </c>
      <c r="CM29" s="1" cm="1">
        <f t="array" ref="CM29:CN29">_xlfn.XLOOKUP(A29,[14]WYNA_2497_CTAB_20231228114756!$A$2:$A$44,[14]WYNA_2497_CTAB_20231228114756!$C$2:$D$44,"--")</f>
        <v>2857.68</v>
      </c>
      <c r="CN29" s="1">
        <v>76.3</v>
      </c>
    </row>
    <row r="30" spans="1:92" x14ac:dyDescent="0.25">
      <c r="A30">
        <v>1426000</v>
      </c>
      <c r="B30" t="s">
        <v>28</v>
      </c>
      <c r="C30" s="1">
        <v>486.79</v>
      </c>
      <c r="D30" s="1">
        <v>490.94</v>
      </c>
      <c r="E30" s="1">
        <v>416272.49</v>
      </c>
      <c r="F30" s="1">
        <v>1757</v>
      </c>
      <c r="G30" s="1">
        <v>7960</v>
      </c>
      <c r="H30" s="1">
        <v>1</v>
      </c>
      <c r="I30" s="1">
        <v>78.3</v>
      </c>
      <c r="J30" s="1">
        <v>0</v>
      </c>
      <c r="K30" s="1">
        <v>2156</v>
      </c>
      <c r="L30" s="1">
        <v>20.5</v>
      </c>
      <c r="M30" s="1" cm="1">
        <f t="array" ref="M30:BT30">_xlfn.XLOOKUP(A30,[8]LUDN_2137_CTAB_20231228113344!A$2:A$44,[8]LUDN_2137_CTAB_20231228113344!C$2:BJ$44,"--")</f>
        <v>81924</v>
      </c>
      <c r="N30" s="1">
        <v>41186</v>
      </c>
      <c r="O30" s="1">
        <v>40738</v>
      </c>
      <c r="P30" s="1">
        <v>4689</v>
      </c>
      <c r="Q30" s="1">
        <v>2369</v>
      </c>
      <c r="R30" s="1">
        <v>2320</v>
      </c>
      <c r="S30" s="1">
        <v>4391</v>
      </c>
      <c r="T30" s="1">
        <v>2267</v>
      </c>
      <c r="U30" s="1">
        <v>2124</v>
      </c>
      <c r="V30" s="1">
        <v>4830</v>
      </c>
      <c r="W30" s="1">
        <v>2477</v>
      </c>
      <c r="X30" s="1">
        <v>2353</v>
      </c>
      <c r="Y30" s="1">
        <v>5983</v>
      </c>
      <c r="Z30" s="1">
        <v>3076</v>
      </c>
      <c r="AA30" s="1">
        <v>2907</v>
      </c>
      <c r="AB30" s="1">
        <v>6674</v>
      </c>
      <c r="AC30" s="1">
        <v>3469</v>
      </c>
      <c r="AD30" s="1">
        <v>3205</v>
      </c>
      <c r="AE30" s="1">
        <v>6541</v>
      </c>
      <c r="AF30" s="1">
        <v>3446</v>
      </c>
      <c r="AG30" s="1">
        <v>3095</v>
      </c>
      <c r="AH30" s="1">
        <v>6093</v>
      </c>
      <c r="AI30" s="1">
        <v>3225</v>
      </c>
      <c r="AJ30" s="1">
        <v>2868</v>
      </c>
      <c r="AK30" s="1">
        <v>5603</v>
      </c>
      <c r="AL30" s="1">
        <v>2949</v>
      </c>
      <c r="AM30" s="1">
        <v>2654</v>
      </c>
      <c r="AN30" s="1">
        <v>5177</v>
      </c>
      <c r="AO30" s="1">
        <v>2740</v>
      </c>
      <c r="AP30" s="1">
        <v>2437</v>
      </c>
      <c r="AQ30" s="1">
        <v>5204</v>
      </c>
      <c r="AR30" s="1">
        <v>2757</v>
      </c>
      <c r="AS30" s="1">
        <v>2447</v>
      </c>
      <c r="AT30" s="1">
        <v>5208</v>
      </c>
      <c r="AU30" s="1">
        <v>2781</v>
      </c>
      <c r="AV30" s="1">
        <v>2427</v>
      </c>
      <c r="AW30" s="1">
        <v>5205</v>
      </c>
      <c r="AX30" s="1">
        <v>2764</v>
      </c>
      <c r="AY30" s="1">
        <v>2441</v>
      </c>
      <c r="AZ30" s="1">
        <v>4389</v>
      </c>
      <c r="BA30" s="1">
        <v>2160</v>
      </c>
      <c r="BB30" s="1">
        <v>2229</v>
      </c>
      <c r="BC30" s="1">
        <v>3017</v>
      </c>
      <c r="BD30" s="1">
        <v>1324</v>
      </c>
      <c r="BE30" s="1">
        <v>1693</v>
      </c>
      <c r="BF30" s="1">
        <v>8920</v>
      </c>
      <c r="BG30" s="1">
        <v>3382</v>
      </c>
      <c r="BH30" s="1">
        <v>5538</v>
      </c>
      <c r="BI30" s="1">
        <v>2620</v>
      </c>
      <c r="BJ30" s="1">
        <v>1133</v>
      </c>
      <c r="BK30" s="1">
        <v>1487</v>
      </c>
      <c r="BL30" s="1">
        <v>2505</v>
      </c>
      <c r="BM30" s="1">
        <v>1000</v>
      </c>
      <c r="BN30" s="1">
        <v>1505</v>
      </c>
      <c r="BO30" s="1">
        <v>2137</v>
      </c>
      <c r="BP30" s="1">
        <v>765</v>
      </c>
      <c r="BQ30" s="1">
        <v>1372</v>
      </c>
      <c r="BR30" s="1">
        <v>1658</v>
      </c>
      <c r="BS30" s="1">
        <v>484</v>
      </c>
      <c r="BT30" s="1">
        <v>1174</v>
      </c>
      <c r="BU30" s="1" cm="1">
        <f t="array" ref="BU30:BX30">_xlfn.XLOOKUP(A30,[9]ORGA_3362_CTAB_20231228113847!$A$2:$A$44,[9]ORGA_3362_CTAB_20231228113847!$C$2:$F$44,"--")</f>
        <v>3313</v>
      </c>
      <c r="BV30" s="1">
        <v>40.450000000000003</v>
      </c>
      <c r="BW30" s="1">
        <v>26.51</v>
      </c>
      <c r="BX30" s="1">
        <v>4.3499999999999996</v>
      </c>
      <c r="BY30" s="1" cm="1">
        <f t="array" ref="BY30:CC30">_xlfn.XLOOKUP(A30,[10]RYNE_3783_CTAB_20231228114052!$A$2:$A$39,[10]RYNE_3783_CTAB_20231228114052!$C$2:$G$39,"--")</f>
        <v>8</v>
      </c>
      <c r="BZ30" s="1">
        <v>0</v>
      </c>
      <c r="CA30" s="1">
        <v>3</v>
      </c>
      <c r="CB30" s="1">
        <v>0</v>
      </c>
      <c r="CC30" s="1">
        <v>3</v>
      </c>
      <c r="CD30" s="1">
        <v>11.9</v>
      </c>
      <c r="CE30" s="1" cm="1">
        <f t="array" ref="CE30:CF30">_xlfn.XLOOKUP(A30,[12]RYNE_2276_CTAB_20231228114425!$A$2:$A$44,[12]RYNE_2276_CTAB_20231228114425!$C$2:$D$44,"--")</f>
        <v>7.0000000000000007E-2</v>
      </c>
      <c r="CF30" s="1">
        <v>5.05</v>
      </c>
      <c r="CG30" s="1" cm="1">
        <f t="array" ref="CG30:CL30">_xlfn.XLOOKUP(A30,[13]SZKO_3226_CTAB_20231228114632!$A$2:$A$25,[13]SZKO_3226_CTAB_20231228114632!$C$2:$H$25,"--")</f>
        <v>53</v>
      </c>
      <c r="CH30" s="1">
        <v>0</v>
      </c>
      <c r="CI30" s="1">
        <v>53</v>
      </c>
      <c r="CJ30" s="1">
        <v>10</v>
      </c>
      <c r="CK30" s="1">
        <v>0</v>
      </c>
      <c r="CL30" s="1">
        <v>10</v>
      </c>
      <c r="CM30" s="1" cm="1">
        <f t="array" ref="CM30:CN30">_xlfn.XLOOKUP(A30,[14]WYNA_2497_CTAB_20231228114756!$A$2:$A$44,[14]WYNA_2497_CTAB_20231228114756!$C$2:$D$44,"--")</f>
        <v>3014.41</v>
      </c>
      <c r="CN30" s="1">
        <v>80.5</v>
      </c>
    </row>
    <row r="31" spans="1:92" x14ac:dyDescent="0.25">
      <c r="A31">
        <v>1427000</v>
      </c>
      <c r="B31" t="s">
        <v>29</v>
      </c>
      <c r="C31" s="1">
        <v>1019.62</v>
      </c>
      <c r="D31" s="1">
        <v>954.17</v>
      </c>
      <c r="E31" s="1">
        <v>771908.09</v>
      </c>
      <c r="F31" s="1">
        <v>1262</v>
      </c>
      <c r="G31" s="1">
        <v>13445</v>
      </c>
      <c r="H31" s="1">
        <v>1</v>
      </c>
      <c r="I31" s="1">
        <v>9699.9</v>
      </c>
      <c r="J31" s="1">
        <v>180</v>
      </c>
      <c r="K31" s="1">
        <v>2818</v>
      </c>
      <c r="L31" s="1">
        <v>18.5</v>
      </c>
      <c r="M31" s="1" cm="1">
        <f t="array" ref="M31:BT31">_xlfn.XLOOKUP(A31,[8]LUDN_2137_CTAB_20231228113344!A$2:A$44,[8]LUDN_2137_CTAB_20231228113344!C$2:BJ$44,"--")</f>
        <v>53540</v>
      </c>
      <c r="N31" s="1">
        <v>26311</v>
      </c>
      <c r="O31" s="1">
        <v>27229</v>
      </c>
      <c r="P31" s="1">
        <v>2808</v>
      </c>
      <c r="Q31" s="1">
        <v>1403</v>
      </c>
      <c r="R31" s="1">
        <v>1405</v>
      </c>
      <c r="S31" s="1">
        <v>2661</v>
      </c>
      <c r="T31" s="1">
        <v>1374</v>
      </c>
      <c r="U31" s="1">
        <v>1287</v>
      </c>
      <c r="V31" s="1">
        <v>3133</v>
      </c>
      <c r="W31" s="1">
        <v>1612</v>
      </c>
      <c r="X31" s="1">
        <v>1521</v>
      </c>
      <c r="Y31" s="1">
        <v>3759</v>
      </c>
      <c r="Z31" s="1">
        <v>1956</v>
      </c>
      <c r="AA31" s="1">
        <v>1803</v>
      </c>
      <c r="AB31" s="1">
        <v>4219</v>
      </c>
      <c r="AC31" s="1">
        <v>2136</v>
      </c>
      <c r="AD31" s="1">
        <v>2083</v>
      </c>
      <c r="AE31" s="1">
        <v>4115</v>
      </c>
      <c r="AF31" s="1">
        <v>2164</v>
      </c>
      <c r="AG31" s="1">
        <v>1951</v>
      </c>
      <c r="AH31" s="1">
        <v>3962</v>
      </c>
      <c r="AI31" s="1">
        <v>2045</v>
      </c>
      <c r="AJ31" s="1">
        <v>1917</v>
      </c>
      <c r="AK31" s="1">
        <v>3635</v>
      </c>
      <c r="AL31" s="1">
        <v>1937</v>
      </c>
      <c r="AM31" s="1">
        <v>1698</v>
      </c>
      <c r="AN31" s="1">
        <v>3549</v>
      </c>
      <c r="AO31" s="1">
        <v>1808</v>
      </c>
      <c r="AP31" s="1">
        <v>1741</v>
      </c>
      <c r="AQ31" s="1">
        <v>3529</v>
      </c>
      <c r="AR31" s="1">
        <v>1796</v>
      </c>
      <c r="AS31" s="1">
        <v>1733</v>
      </c>
      <c r="AT31" s="1">
        <v>3887</v>
      </c>
      <c r="AU31" s="1">
        <v>2013</v>
      </c>
      <c r="AV31" s="1">
        <v>1874</v>
      </c>
      <c r="AW31" s="1">
        <v>3732</v>
      </c>
      <c r="AX31" s="1">
        <v>1884</v>
      </c>
      <c r="AY31" s="1">
        <v>1848</v>
      </c>
      <c r="AZ31" s="1">
        <v>3186</v>
      </c>
      <c r="BA31" s="1">
        <v>1502</v>
      </c>
      <c r="BB31" s="1">
        <v>1684</v>
      </c>
      <c r="BC31" s="1">
        <v>1939</v>
      </c>
      <c r="BD31" s="1">
        <v>826</v>
      </c>
      <c r="BE31" s="1">
        <v>1113</v>
      </c>
      <c r="BF31" s="1">
        <v>5426</v>
      </c>
      <c r="BG31" s="1">
        <v>1855</v>
      </c>
      <c r="BH31" s="1">
        <v>3571</v>
      </c>
      <c r="BI31" s="1">
        <v>1795</v>
      </c>
      <c r="BJ31" s="1">
        <v>703</v>
      </c>
      <c r="BK31" s="1">
        <v>1092</v>
      </c>
      <c r="BL31" s="1">
        <v>1537</v>
      </c>
      <c r="BM31" s="1">
        <v>543</v>
      </c>
      <c r="BN31" s="1">
        <v>994</v>
      </c>
      <c r="BO31" s="1">
        <v>1262</v>
      </c>
      <c r="BP31" s="1">
        <v>400</v>
      </c>
      <c r="BQ31" s="1">
        <v>862</v>
      </c>
      <c r="BR31" s="1">
        <v>832</v>
      </c>
      <c r="BS31" s="1">
        <v>209</v>
      </c>
      <c r="BT31" s="1">
        <v>623</v>
      </c>
      <c r="BU31" s="1" cm="1">
        <f t="array" ref="BU31:BX31">_xlfn.XLOOKUP(A31,[9]ORGA_3362_CTAB_20231228113847!$A$2:$A$44,[9]ORGA_3362_CTAB_20231228113847!$C$2:$F$44,"--")</f>
        <v>1665</v>
      </c>
      <c r="BV31" s="1">
        <v>31.04</v>
      </c>
      <c r="BW31" s="1">
        <v>8.69</v>
      </c>
      <c r="BX31" s="1">
        <v>11.65</v>
      </c>
      <c r="BY31" s="1" cm="1">
        <f t="array" ref="BY31:CC31">_xlfn.XLOOKUP(A31,[10]RYNE_3783_CTAB_20231228114052!$A$2:$A$39,[10]RYNE_3783_CTAB_20231228114052!$C$2:$G$39,"--")</f>
        <v>27</v>
      </c>
      <c r="BZ31" s="1">
        <v>9</v>
      </c>
      <c r="CA31" s="1">
        <v>18</v>
      </c>
      <c r="CB31" s="1">
        <v>0</v>
      </c>
      <c r="CC31" s="1">
        <v>0</v>
      </c>
      <c r="CD31" s="1">
        <v>25</v>
      </c>
      <c r="CE31" s="1" cm="1">
        <f t="array" ref="CE31:CF31">_xlfn.XLOOKUP(A31,[12]RYNE_2276_CTAB_20231228114425!$A$2:$A$44,[12]RYNE_2276_CTAB_20231228114425!$C$2:$D$44,"--")</f>
        <v>7.0000000000000007E-2</v>
      </c>
      <c r="CF31" s="1">
        <v>7.04</v>
      </c>
      <c r="CG31" s="1" t="str" cm="1">
        <f t="array" ref="CG31">_xlfn.XLOOKUP(A31,[13]SZKO_3226_CTAB_20231228114632!$A$2:$A$25,[13]SZKO_3226_CTAB_20231228114632!$C$2:$H$25,"--")</f>
        <v>--</v>
      </c>
      <c r="CM31" s="1" cm="1">
        <f t="array" ref="CM31:CN31">_xlfn.XLOOKUP(A31,[14]WYNA_2497_CTAB_20231228114756!$A$2:$A$44,[14]WYNA_2497_CTAB_20231228114756!$C$2:$D$44,"--")</f>
        <v>3043.46</v>
      </c>
      <c r="CN31" s="1">
        <v>81.3</v>
      </c>
    </row>
    <row r="32" spans="1:92" x14ac:dyDescent="0.25">
      <c r="A32">
        <v>1428000</v>
      </c>
      <c r="B32" t="s">
        <v>30</v>
      </c>
      <c r="C32" s="1">
        <v>889.64</v>
      </c>
      <c r="D32" s="1">
        <v>901.49</v>
      </c>
      <c r="E32" s="1">
        <v>4100856.33</v>
      </c>
      <c r="F32" s="1">
        <v>2754</v>
      </c>
      <c r="G32" s="1">
        <v>30519</v>
      </c>
      <c r="H32" s="1">
        <v>4</v>
      </c>
      <c r="I32" s="1">
        <v>24482.6</v>
      </c>
      <c r="J32" s="1">
        <v>312</v>
      </c>
      <c r="K32" s="1">
        <v>4055</v>
      </c>
      <c r="L32" s="1">
        <v>19.3</v>
      </c>
      <c r="M32" s="1" cm="1">
        <f t="array" ref="M32:BT32">_xlfn.XLOOKUP(A32,[8]LUDN_2137_CTAB_20231228113344!A$2:A$44,[8]LUDN_2137_CTAB_20231228113344!C$2:BJ$44,"--")</f>
        <v>85162</v>
      </c>
      <c r="N32" s="1">
        <v>41402</v>
      </c>
      <c r="O32" s="1">
        <v>43760</v>
      </c>
      <c r="P32" s="1">
        <v>4699</v>
      </c>
      <c r="Q32" s="1">
        <v>2385</v>
      </c>
      <c r="R32" s="1">
        <v>2314</v>
      </c>
      <c r="S32" s="1">
        <v>4288</v>
      </c>
      <c r="T32" s="1">
        <v>2205</v>
      </c>
      <c r="U32" s="1">
        <v>2083</v>
      </c>
      <c r="V32" s="1">
        <v>4361</v>
      </c>
      <c r="W32" s="1">
        <v>2214</v>
      </c>
      <c r="X32" s="1">
        <v>2147</v>
      </c>
      <c r="Y32" s="1">
        <v>5145</v>
      </c>
      <c r="Z32" s="1">
        <v>2579</v>
      </c>
      <c r="AA32" s="1">
        <v>2566</v>
      </c>
      <c r="AB32" s="1">
        <v>6125</v>
      </c>
      <c r="AC32" s="1">
        <v>3101</v>
      </c>
      <c r="AD32" s="1">
        <v>3024</v>
      </c>
      <c r="AE32" s="1">
        <v>6812</v>
      </c>
      <c r="AF32" s="1">
        <v>3506</v>
      </c>
      <c r="AG32" s="1">
        <v>3306</v>
      </c>
      <c r="AH32" s="1">
        <v>6935</v>
      </c>
      <c r="AI32" s="1">
        <v>3537</v>
      </c>
      <c r="AJ32" s="1">
        <v>3398</v>
      </c>
      <c r="AK32" s="1">
        <v>6402</v>
      </c>
      <c r="AL32" s="1">
        <v>3322</v>
      </c>
      <c r="AM32" s="1">
        <v>3080</v>
      </c>
      <c r="AN32" s="1">
        <v>5376</v>
      </c>
      <c r="AO32" s="1">
        <v>2745</v>
      </c>
      <c r="AP32" s="1">
        <v>2631</v>
      </c>
      <c r="AQ32" s="1">
        <v>5282</v>
      </c>
      <c r="AR32" s="1">
        <v>2651</v>
      </c>
      <c r="AS32" s="1">
        <v>2631</v>
      </c>
      <c r="AT32" s="1">
        <v>6214</v>
      </c>
      <c r="AU32" s="1">
        <v>3061</v>
      </c>
      <c r="AV32" s="1">
        <v>3153</v>
      </c>
      <c r="AW32" s="1">
        <v>6568</v>
      </c>
      <c r="AX32" s="1">
        <v>3155</v>
      </c>
      <c r="AY32" s="1">
        <v>3413</v>
      </c>
      <c r="AZ32" s="1">
        <v>5216</v>
      </c>
      <c r="BA32" s="1">
        <v>2403</v>
      </c>
      <c r="BB32" s="1">
        <v>2813</v>
      </c>
      <c r="BC32" s="1">
        <v>3449</v>
      </c>
      <c r="BD32" s="1">
        <v>1543</v>
      </c>
      <c r="BE32" s="1">
        <v>1906</v>
      </c>
      <c r="BF32" s="1">
        <v>8290</v>
      </c>
      <c r="BG32" s="1">
        <v>2995</v>
      </c>
      <c r="BH32" s="1">
        <v>5295</v>
      </c>
      <c r="BI32" s="1">
        <v>2666</v>
      </c>
      <c r="BJ32" s="1">
        <v>1076</v>
      </c>
      <c r="BK32" s="1">
        <v>1590</v>
      </c>
      <c r="BL32" s="1">
        <v>2384</v>
      </c>
      <c r="BM32" s="1">
        <v>894</v>
      </c>
      <c r="BN32" s="1">
        <v>1490</v>
      </c>
      <c r="BO32" s="1">
        <v>1919</v>
      </c>
      <c r="BP32" s="1">
        <v>651</v>
      </c>
      <c r="BQ32" s="1">
        <v>1268</v>
      </c>
      <c r="BR32" s="1">
        <v>1321</v>
      </c>
      <c r="BS32" s="1">
        <v>374</v>
      </c>
      <c r="BT32" s="1">
        <v>947</v>
      </c>
      <c r="BU32" s="1" cm="1">
        <f t="array" ref="BU32:BX32">_xlfn.XLOOKUP(A32,[9]ORGA_3362_CTAB_20231228113847!$A$2:$A$44,[9]ORGA_3362_CTAB_20231228113847!$C$2:$F$44,"--")</f>
        <v>2478</v>
      </c>
      <c r="BV32" s="1">
        <v>29.11</v>
      </c>
      <c r="BW32" s="1">
        <v>17.670000000000002</v>
      </c>
      <c r="BX32" s="1">
        <v>5.65</v>
      </c>
      <c r="BY32" s="1" cm="1">
        <f t="array" ref="BY32:CC32">_xlfn.XLOOKUP(A32,[10]RYNE_3783_CTAB_20231228114052!$A$2:$A$39,[10]RYNE_3783_CTAB_20231228114052!$C$2:$G$39,"--")</f>
        <v>58</v>
      </c>
      <c r="BZ32" s="1">
        <v>19</v>
      </c>
      <c r="CA32" s="1">
        <v>25</v>
      </c>
      <c r="CB32" s="1">
        <v>13</v>
      </c>
      <c r="CC32" s="1">
        <v>0</v>
      </c>
      <c r="CD32" s="1">
        <v>11.5</v>
      </c>
      <c r="CE32" s="1" cm="1">
        <f t="array" ref="CE32:CF32">_xlfn.XLOOKUP(A32,[12]RYNE_2276_CTAB_20231228114425!$A$2:$A$44,[12]RYNE_2276_CTAB_20231228114425!$C$2:$D$44,"--")</f>
        <v>0.2</v>
      </c>
      <c r="CF32" s="1">
        <v>7.76</v>
      </c>
      <c r="CG32" s="1" cm="1">
        <f t="array" ref="CG32:CL32">_xlfn.XLOOKUP(A32,[13]SZKO_3226_CTAB_20231228114632!$A$2:$A$25,[13]SZKO_3226_CTAB_20231228114632!$C$2:$H$25,"--")</f>
        <v>382</v>
      </c>
      <c r="CH32" s="1">
        <v>190</v>
      </c>
      <c r="CI32" s="1">
        <v>192</v>
      </c>
      <c r="CJ32" s="1">
        <v>99</v>
      </c>
      <c r="CK32" s="1">
        <v>59</v>
      </c>
      <c r="CL32" s="1">
        <v>40</v>
      </c>
      <c r="CM32" s="1" cm="1">
        <f t="array" ref="CM32:CN32">_xlfn.XLOOKUP(A32,[14]WYNA_2497_CTAB_20231228114756!$A$2:$A$44,[14]WYNA_2497_CTAB_20231228114756!$C$2:$D$44,"--")</f>
        <v>3740.62</v>
      </c>
      <c r="CN32" s="1">
        <v>99.9</v>
      </c>
    </row>
    <row r="33" spans="1:92" x14ac:dyDescent="0.25">
      <c r="A33">
        <v>1429000</v>
      </c>
      <c r="B33" t="s">
        <v>31</v>
      </c>
      <c r="C33" s="1">
        <v>1073.1199999999999</v>
      </c>
      <c r="D33" s="1">
        <v>1036.8499999999999</v>
      </c>
      <c r="E33" s="1">
        <v>9117542.8200000003</v>
      </c>
      <c r="F33" s="1">
        <v>2905</v>
      </c>
      <c r="G33" s="1">
        <v>29051</v>
      </c>
      <c r="H33" s="1">
        <v>1</v>
      </c>
      <c r="I33" s="1">
        <v>9155.4</v>
      </c>
      <c r="J33" s="1">
        <v>155</v>
      </c>
      <c r="K33" s="1">
        <v>2961</v>
      </c>
      <c r="L33" s="1">
        <v>14.8</v>
      </c>
      <c r="M33" s="1" cm="1">
        <f t="array" ref="M33:BT33">_xlfn.XLOOKUP(A33,[8]LUDN_2137_CTAB_20231228113344!A$2:A$44,[8]LUDN_2137_CTAB_20231228113344!C$2:BJ$44,"--")</f>
        <v>56264</v>
      </c>
      <c r="N33" s="1">
        <v>27882</v>
      </c>
      <c r="O33" s="1">
        <v>28382</v>
      </c>
      <c r="P33" s="1">
        <v>2823</v>
      </c>
      <c r="Q33" s="1">
        <v>1415</v>
      </c>
      <c r="R33" s="1">
        <v>1408</v>
      </c>
      <c r="S33" s="1">
        <v>2551</v>
      </c>
      <c r="T33" s="1">
        <v>1334</v>
      </c>
      <c r="U33" s="1">
        <v>1217</v>
      </c>
      <c r="V33" s="1">
        <v>2906</v>
      </c>
      <c r="W33" s="1">
        <v>1442</v>
      </c>
      <c r="X33" s="1">
        <v>1464</v>
      </c>
      <c r="Y33" s="1">
        <v>3647</v>
      </c>
      <c r="Z33" s="1">
        <v>1926</v>
      </c>
      <c r="AA33" s="1">
        <v>1721</v>
      </c>
      <c r="AB33" s="1">
        <v>4262</v>
      </c>
      <c r="AC33" s="1">
        <v>2148</v>
      </c>
      <c r="AD33" s="1">
        <v>2114</v>
      </c>
      <c r="AE33" s="1">
        <v>4306</v>
      </c>
      <c r="AF33" s="1">
        <v>2316</v>
      </c>
      <c r="AG33" s="1">
        <v>1990</v>
      </c>
      <c r="AH33" s="1">
        <v>3970</v>
      </c>
      <c r="AI33" s="1">
        <v>2164</v>
      </c>
      <c r="AJ33" s="1">
        <v>1806</v>
      </c>
      <c r="AK33" s="1">
        <v>3687</v>
      </c>
      <c r="AL33" s="1">
        <v>1992</v>
      </c>
      <c r="AM33" s="1">
        <v>1695</v>
      </c>
      <c r="AN33" s="1">
        <v>3418</v>
      </c>
      <c r="AO33" s="1">
        <v>1748</v>
      </c>
      <c r="AP33" s="1">
        <v>1670</v>
      </c>
      <c r="AQ33" s="1">
        <v>3482</v>
      </c>
      <c r="AR33" s="1">
        <v>1737</v>
      </c>
      <c r="AS33" s="1">
        <v>1745</v>
      </c>
      <c r="AT33" s="1">
        <v>4033</v>
      </c>
      <c r="AU33" s="1">
        <v>2103</v>
      </c>
      <c r="AV33" s="1">
        <v>1930</v>
      </c>
      <c r="AW33" s="1">
        <v>4302</v>
      </c>
      <c r="AX33" s="1">
        <v>2172</v>
      </c>
      <c r="AY33" s="1">
        <v>2130</v>
      </c>
      <c r="AZ33" s="1">
        <v>3519</v>
      </c>
      <c r="BA33" s="1">
        <v>1687</v>
      </c>
      <c r="BB33" s="1">
        <v>1832</v>
      </c>
      <c r="BC33" s="1">
        <v>2427</v>
      </c>
      <c r="BD33" s="1">
        <v>1120</v>
      </c>
      <c r="BE33" s="1">
        <v>1307</v>
      </c>
      <c r="BF33" s="1">
        <v>6931</v>
      </c>
      <c r="BG33" s="1">
        <v>2578</v>
      </c>
      <c r="BH33" s="1">
        <v>4353</v>
      </c>
      <c r="BI33" s="1">
        <v>1898</v>
      </c>
      <c r="BJ33" s="1">
        <v>804</v>
      </c>
      <c r="BK33" s="1">
        <v>1094</v>
      </c>
      <c r="BL33" s="1">
        <v>2009</v>
      </c>
      <c r="BM33" s="1">
        <v>768</v>
      </c>
      <c r="BN33" s="1">
        <v>1241</v>
      </c>
      <c r="BO33" s="1">
        <v>1729</v>
      </c>
      <c r="BP33" s="1">
        <v>633</v>
      </c>
      <c r="BQ33" s="1">
        <v>1096</v>
      </c>
      <c r="BR33" s="1">
        <v>1295</v>
      </c>
      <c r="BS33" s="1">
        <v>373</v>
      </c>
      <c r="BT33" s="1">
        <v>922</v>
      </c>
      <c r="BU33" s="1" cm="1">
        <f t="array" ref="BU33:BX33">_xlfn.XLOOKUP(A33,[9]ORGA_3362_CTAB_20231228113847!$A$2:$A$44,[9]ORGA_3362_CTAB_20231228113847!$C$2:$F$44,"--")</f>
        <v>1333</v>
      </c>
      <c r="BV33" s="1">
        <v>23.61</v>
      </c>
      <c r="BW33" s="1">
        <v>14.56</v>
      </c>
      <c r="BX33" s="1">
        <v>2.29</v>
      </c>
      <c r="BY33" s="1" cm="1">
        <f t="array" ref="BY33:CC33">_xlfn.XLOOKUP(A33,[10]RYNE_3783_CTAB_20231228114052!$A$2:$A$39,[10]RYNE_3783_CTAB_20231228114052!$C$2:$G$39,"--")</f>
        <v>32</v>
      </c>
      <c r="BZ33" s="1">
        <v>11</v>
      </c>
      <c r="CA33" s="1">
        <v>15</v>
      </c>
      <c r="CB33" s="1">
        <v>5</v>
      </c>
      <c r="CC33" s="1">
        <v>0</v>
      </c>
      <c r="CD33" s="1">
        <v>11.6</v>
      </c>
      <c r="CE33" s="1" cm="1">
        <f t="array" ref="CE33:CF33">_xlfn.XLOOKUP(A33,[12]RYNE_2276_CTAB_20231228114425!$A$2:$A$44,[12]RYNE_2276_CTAB_20231228114425!$C$2:$D$44,"--")</f>
        <v>0.24</v>
      </c>
      <c r="CF33" s="1">
        <v>16.690000000000001</v>
      </c>
      <c r="CG33" s="1" t="str" cm="1">
        <f t="array" ref="CG33">_xlfn.XLOOKUP(A33,[13]SZKO_3226_CTAB_20231228114632!$A$2:$A$25,[13]SZKO_3226_CTAB_20231228114632!$C$2:$H$25,"--")</f>
        <v>--</v>
      </c>
      <c r="CM33" s="1" cm="1">
        <f t="array" ref="CM33:CN33">_xlfn.XLOOKUP(A33,[14]WYNA_2497_CTAB_20231228114756!$A$2:$A$44,[14]WYNA_2497_CTAB_20231228114756!$C$2:$D$44,"--")</f>
        <v>2974.75</v>
      </c>
      <c r="CN33" s="1">
        <v>79.400000000000006</v>
      </c>
    </row>
    <row r="34" spans="1:92" x14ac:dyDescent="0.25">
      <c r="A34">
        <v>1430000</v>
      </c>
      <c r="B34" t="s">
        <v>32</v>
      </c>
      <c r="C34" s="1">
        <v>844.53</v>
      </c>
      <c r="D34" s="1">
        <v>828.8</v>
      </c>
      <c r="E34" s="1">
        <v>628997.32999999996</v>
      </c>
      <c r="F34" s="1">
        <v>1692</v>
      </c>
      <c r="G34" s="1">
        <v>6081</v>
      </c>
      <c r="H34" s="1">
        <v>2</v>
      </c>
      <c r="I34" s="1">
        <v>3760.8</v>
      </c>
      <c r="J34" s="1">
        <v>0</v>
      </c>
      <c r="K34" s="1">
        <v>2709</v>
      </c>
      <c r="L34" s="1">
        <v>17.899999999999999</v>
      </c>
      <c r="M34" s="1" cm="1">
        <f t="array" ref="M34:BT34">_xlfn.XLOOKUP(A34,[8]LUDN_2137_CTAB_20231228113344!A$2:A$44,[8]LUDN_2137_CTAB_20231228113344!C$2:BJ$44,"--")</f>
        <v>40638</v>
      </c>
      <c r="N34" s="1">
        <v>20240</v>
      </c>
      <c r="O34" s="1">
        <v>20398</v>
      </c>
      <c r="P34" s="1">
        <v>2204</v>
      </c>
      <c r="Q34" s="1">
        <v>1148</v>
      </c>
      <c r="R34" s="1">
        <v>1056</v>
      </c>
      <c r="S34" s="1">
        <v>2034</v>
      </c>
      <c r="T34" s="1">
        <v>1061</v>
      </c>
      <c r="U34" s="1">
        <v>973</v>
      </c>
      <c r="V34" s="1">
        <v>2347</v>
      </c>
      <c r="W34" s="1">
        <v>1217</v>
      </c>
      <c r="X34" s="1">
        <v>1130</v>
      </c>
      <c r="Y34" s="1">
        <v>2685</v>
      </c>
      <c r="Z34" s="1">
        <v>1387</v>
      </c>
      <c r="AA34" s="1">
        <v>1298</v>
      </c>
      <c r="AB34" s="1">
        <v>3042</v>
      </c>
      <c r="AC34" s="1">
        <v>1585</v>
      </c>
      <c r="AD34" s="1">
        <v>1457</v>
      </c>
      <c r="AE34" s="1">
        <v>3418</v>
      </c>
      <c r="AF34" s="1">
        <v>1810</v>
      </c>
      <c r="AG34" s="1">
        <v>1608</v>
      </c>
      <c r="AH34" s="1">
        <v>3208</v>
      </c>
      <c r="AI34" s="1">
        <v>1727</v>
      </c>
      <c r="AJ34" s="1">
        <v>1481</v>
      </c>
      <c r="AK34" s="1">
        <v>3086</v>
      </c>
      <c r="AL34" s="1">
        <v>1602</v>
      </c>
      <c r="AM34" s="1">
        <v>1484</v>
      </c>
      <c r="AN34" s="1">
        <v>2477</v>
      </c>
      <c r="AO34" s="1">
        <v>1288</v>
      </c>
      <c r="AP34" s="1">
        <v>1189</v>
      </c>
      <c r="AQ34" s="1">
        <v>2369</v>
      </c>
      <c r="AR34" s="1">
        <v>1215</v>
      </c>
      <c r="AS34" s="1">
        <v>1154</v>
      </c>
      <c r="AT34" s="1">
        <v>2854</v>
      </c>
      <c r="AU34" s="1">
        <v>1522</v>
      </c>
      <c r="AV34" s="1">
        <v>1332</v>
      </c>
      <c r="AW34" s="1">
        <v>2971</v>
      </c>
      <c r="AX34" s="1">
        <v>1505</v>
      </c>
      <c r="AY34" s="1">
        <v>1466</v>
      </c>
      <c r="AZ34" s="1">
        <v>2374</v>
      </c>
      <c r="BA34" s="1">
        <v>1122</v>
      </c>
      <c r="BB34" s="1">
        <v>1252</v>
      </c>
      <c r="BC34" s="1">
        <v>1521</v>
      </c>
      <c r="BD34" s="1">
        <v>710</v>
      </c>
      <c r="BE34" s="1">
        <v>811</v>
      </c>
      <c r="BF34" s="1">
        <v>4048</v>
      </c>
      <c r="BG34" s="1">
        <v>1341</v>
      </c>
      <c r="BH34" s="1">
        <v>2707</v>
      </c>
      <c r="BI34" s="1">
        <v>1165</v>
      </c>
      <c r="BJ34" s="1">
        <v>437</v>
      </c>
      <c r="BK34" s="1">
        <v>728</v>
      </c>
      <c r="BL34" s="1">
        <v>1251</v>
      </c>
      <c r="BM34" s="1">
        <v>435</v>
      </c>
      <c r="BN34" s="1">
        <v>816</v>
      </c>
      <c r="BO34" s="1">
        <v>946</v>
      </c>
      <c r="BP34" s="1">
        <v>296</v>
      </c>
      <c r="BQ34" s="1">
        <v>650</v>
      </c>
      <c r="BR34" s="1">
        <v>686</v>
      </c>
      <c r="BS34" s="1">
        <v>173</v>
      </c>
      <c r="BT34" s="1">
        <v>513</v>
      </c>
      <c r="BU34" s="1" cm="1">
        <f t="array" ref="BU34:BX34">_xlfn.XLOOKUP(A34,[9]ORGA_3362_CTAB_20231228113847!$A$2:$A$44,[9]ORGA_3362_CTAB_20231228113847!$C$2:$F$44,"--")</f>
        <v>824</v>
      </c>
      <c r="BV34" s="1">
        <v>20.239999999999998</v>
      </c>
      <c r="BW34" s="1">
        <v>9.68</v>
      </c>
      <c r="BX34" s="1">
        <v>1.82</v>
      </c>
      <c r="BY34" s="1" cm="1">
        <f t="array" ref="BY34:CC34">_xlfn.XLOOKUP(A34,[10]RYNE_3783_CTAB_20231228114052!$A$2:$A$39,[10]RYNE_3783_CTAB_20231228114052!$C$2:$G$39,"--")</f>
        <v>22</v>
      </c>
      <c r="BZ34" s="1">
        <v>8</v>
      </c>
      <c r="CA34" s="1">
        <v>12</v>
      </c>
      <c r="CB34" s="1">
        <v>0</v>
      </c>
      <c r="CC34" s="1">
        <v>0</v>
      </c>
      <c r="CD34" s="1">
        <v>38</v>
      </c>
      <c r="CE34" s="1" cm="1">
        <f t="array" ref="CE34:CF34">_xlfn.XLOOKUP(A34,[12]RYNE_2276_CTAB_20231228114425!$A$2:$A$44,[12]RYNE_2276_CTAB_20231228114425!$C$2:$D$44,"--")</f>
        <v>0.04</v>
      </c>
      <c r="CF34" s="1">
        <v>5.78</v>
      </c>
      <c r="CG34" s="1" t="str" cm="1">
        <f t="array" ref="CG34">_xlfn.XLOOKUP(A34,[13]SZKO_3226_CTAB_20231228114632!$A$2:$A$25,[13]SZKO_3226_CTAB_20231228114632!$C$2:$H$25,"--")</f>
        <v>--</v>
      </c>
      <c r="CM34" s="1" cm="1">
        <f t="array" ref="CM34:CN34">_xlfn.XLOOKUP(A34,[14]WYNA_2497_CTAB_20231228114756!$A$2:$A$44,[14]WYNA_2497_CTAB_20231228114756!$C$2:$D$44,"--")</f>
        <v>2949.78</v>
      </c>
      <c r="CN34" s="1">
        <v>78.8</v>
      </c>
    </row>
    <row r="35" spans="1:92" x14ac:dyDescent="0.25">
      <c r="A35">
        <v>1432000</v>
      </c>
      <c r="B35" t="s">
        <v>33</v>
      </c>
      <c r="C35" s="1">
        <v>1002.97</v>
      </c>
      <c r="D35" s="1">
        <v>1028.5</v>
      </c>
      <c r="E35" s="1">
        <v>2631591.87</v>
      </c>
      <c r="F35" s="1">
        <v>4891</v>
      </c>
      <c r="G35" s="1">
        <v>49962</v>
      </c>
      <c r="H35" s="1">
        <v>2</v>
      </c>
      <c r="I35" s="1">
        <v>1290.0999999999999</v>
      </c>
      <c r="J35" s="1">
        <v>457</v>
      </c>
      <c r="K35" s="1">
        <v>6090</v>
      </c>
      <c r="L35" s="1">
        <v>26.7</v>
      </c>
      <c r="M35" s="1" cm="1">
        <f t="array" ref="M35:BT35">_xlfn.XLOOKUP(A35,[8]LUDN_2137_CTAB_20231228113344!A$2:A$44,[8]LUDN_2137_CTAB_20231228113344!C$2:BJ$44,"--")</f>
        <v>109624</v>
      </c>
      <c r="N35" s="1">
        <v>52830</v>
      </c>
      <c r="O35" s="1">
        <v>56794</v>
      </c>
      <c r="P35" s="1">
        <v>6351</v>
      </c>
      <c r="Q35" s="1">
        <v>3202</v>
      </c>
      <c r="R35" s="1">
        <v>3149</v>
      </c>
      <c r="S35" s="1">
        <v>6429</v>
      </c>
      <c r="T35" s="1">
        <v>3315</v>
      </c>
      <c r="U35" s="1">
        <v>3114</v>
      </c>
      <c r="V35" s="1">
        <v>5750</v>
      </c>
      <c r="W35" s="1">
        <v>2997</v>
      </c>
      <c r="X35" s="1">
        <v>2753</v>
      </c>
      <c r="Y35" s="1">
        <v>6049</v>
      </c>
      <c r="Z35" s="1">
        <v>3091</v>
      </c>
      <c r="AA35" s="1">
        <v>2958</v>
      </c>
      <c r="AB35" s="1">
        <v>6874</v>
      </c>
      <c r="AC35" s="1">
        <v>3510</v>
      </c>
      <c r="AD35" s="1">
        <v>3364</v>
      </c>
      <c r="AE35" s="1">
        <v>7756</v>
      </c>
      <c r="AF35" s="1">
        <v>3865</v>
      </c>
      <c r="AG35" s="1">
        <v>3891</v>
      </c>
      <c r="AH35" s="1">
        <v>8588</v>
      </c>
      <c r="AI35" s="1">
        <v>4233</v>
      </c>
      <c r="AJ35" s="1">
        <v>4355</v>
      </c>
      <c r="AK35" s="1">
        <v>9365</v>
      </c>
      <c r="AL35" s="1">
        <v>4599</v>
      </c>
      <c r="AM35" s="1">
        <v>4766</v>
      </c>
      <c r="AN35" s="1">
        <v>7828</v>
      </c>
      <c r="AO35" s="1">
        <v>3822</v>
      </c>
      <c r="AP35" s="1">
        <v>4006</v>
      </c>
      <c r="AQ35" s="1">
        <v>6794</v>
      </c>
      <c r="AR35" s="1">
        <v>3384</v>
      </c>
      <c r="AS35" s="1">
        <v>3410</v>
      </c>
      <c r="AT35" s="1">
        <v>7664</v>
      </c>
      <c r="AU35" s="1">
        <v>3663</v>
      </c>
      <c r="AV35" s="1">
        <v>4001</v>
      </c>
      <c r="AW35" s="1">
        <v>8527</v>
      </c>
      <c r="AX35" s="1">
        <v>4095</v>
      </c>
      <c r="AY35" s="1">
        <v>4432</v>
      </c>
      <c r="AZ35" s="1">
        <v>7174</v>
      </c>
      <c r="BA35" s="1">
        <v>3393</v>
      </c>
      <c r="BB35" s="1">
        <v>3781</v>
      </c>
      <c r="BC35" s="1">
        <v>4510</v>
      </c>
      <c r="BD35" s="1">
        <v>1991</v>
      </c>
      <c r="BE35" s="1">
        <v>2519</v>
      </c>
      <c r="BF35" s="1">
        <v>9965</v>
      </c>
      <c r="BG35" s="1">
        <v>3670</v>
      </c>
      <c r="BH35" s="1">
        <v>6295</v>
      </c>
      <c r="BI35" s="1">
        <v>3242</v>
      </c>
      <c r="BJ35" s="1">
        <v>1344</v>
      </c>
      <c r="BK35" s="1">
        <v>1898</v>
      </c>
      <c r="BL35" s="1">
        <v>2927</v>
      </c>
      <c r="BM35" s="1">
        <v>1164</v>
      </c>
      <c r="BN35" s="1">
        <v>1763</v>
      </c>
      <c r="BO35" s="1">
        <v>2157</v>
      </c>
      <c r="BP35" s="1">
        <v>731</v>
      </c>
      <c r="BQ35" s="1">
        <v>1426</v>
      </c>
      <c r="BR35" s="1">
        <v>1639</v>
      </c>
      <c r="BS35" s="1">
        <v>431</v>
      </c>
      <c r="BT35" s="1">
        <v>1208</v>
      </c>
      <c r="BU35" s="1" cm="1">
        <f t="array" ref="BU35:BX35">_xlfn.XLOOKUP(A35,[9]ORGA_3362_CTAB_20231228113847!$A$2:$A$44,[9]ORGA_3362_CTAB_20231228113847!$C$2:$F$44,"--")</f>
        <v>2621</v>
      </c>
      <c r="BV35" s="1">
        <v>24.07</v>
      </c>
      <c r="BW35" s="1">
        <v>17.03</v>
      </c>
      <c r="BX35" s="1">
        <v>1.35</v>
      </c>
      <c r="BY35" s="1" cm="1">
        <f t="array" ref="BY35:CC35">_xlfn.XLOOKUP(A35,[10]RYNE_3783_CTAB_20231228114052!$A$2:$A$39,[10]RYNE_3783_CTAB_20231228114052!$C$2:$G$39,"--")</f>
        <v>362</v>
      </c>
      <c r="BZ35" s="1">
        <v>92</v>
      </c>
      <c r="CA35" s="1">
        <v>131</v>
      </c>
      <c r="CB35" s="1">
        <v>88</v>
      </c>
      <c r="CC35" s="1">
        <v>51</v>
      </c>
      <c r="CD35" s="1">
        <v>6.6</v>
      </c>
      <c r="CE35" s="1" cm="1">
        <f t="array" ref="CE35:CF35">_xlfn.XLOOKUP(A35,[12]RYNE_2276_CTAB_20231228114425!$A$2:$A$44,[12]RYNE_2276_CTAB_20231228114425!$C$2:$D$44,"--")</f>
        <v>0.26</v>
      </c>
      <c r="CF35" s="1">
        <v>5.49</v>
      </c>
      <c r="CG35" s="1" t="str" cm="1">
        <f t="array" ref="CG35">_xlfn.XLOOKUP(A35,[13]SZKO_3226_CTAB_20231228114632!$A$2:$A$25,[13]SZKO_3226_CTAB_20231228114632!$C$2:$H$25,"--")</f>
        <v>--</v>
      </c>
      <c r="CM35" s="1" cm="1">
        <f t="array" ref="CM35:CN35">_xlfn.XLOOKUP(A35,[14]WYNA_2497_CTAB_20231228114756!$A$2:$A$44,[14]WYNA_2497_CTAB_20231228114756!$C$2:$D$44,"--")</f>
        <v>4050.54</v>
      </c>
      <c r="CN35" s="1">
        <v>108.2</v>
      </c>
    </row>
    <row r="36" spans="1:92" x14ac:dyDescent="0.25">
      <c r="A36">
        <v>1433000</v>
      </c>
      <c r="B36" t="s">
        <v>34</v>
      </c>
      <c r="C36" s="1">
        <v>817.27</v>
      </c>
      <c r="D36" s="1">
        <v>822.96</v>
      </c>
      <c r="E36" s="1">
        <v>788163.95</v>
      </c>
      <c r="F36" s="1">
        <v>977</v>
      </c>
      <c r="G36" s="1">
        <v>10326</v>
      </c>
      <c r="H36" s="1">
        <v>2</v>
      </c>
      <c r="I36" s="1">
        <v>2093.3000000000002</v>
      </c>
      <c r="J36" s="1">
        <v>242</v>
      </c>
      <c r="K36" s="1">
        <v>2512</v>
      </c>
      <c r="L36" s="1">
        <v>17.5</v>
      </c>
      <c r="M36" s="1" cm="1">
        <f t="array" ref="M36:BT36">_xlfn.XLOOKUP(A36,[8]LUDN_2137_CTAB_20231228113344!A$2:A$44,[8]LUDN_2137_CTAB_20231228113344!C$2:BJ$44,"--")</f>
        <v>67830</v>
      </c>
      <c r="N36" s="1">
        <v>33880</v>
      </c>
      <c r="O36" s="1">
        <v>33950</v>
      </c>
      <c r="P36" s="1">
        <v>3680</v>
      </c>
      <c r="Q36" s="1">
        <v>1901</v>
      </c>
      <c r="R36" s="1">
        <v>1779</v>
      </c>
      <c r="S36" s="1">
        <v>3292</v>
      </c>
      <c r="T36" s="1">
        <v>1665</v>
      </c>
      <c r="U36" s="1">
        <v>1627</v>
      </c>
      <c r="V36" s="1">
        <v>3634</v>
      </c>
      <c r="W36" s="1">
        <v>1777</v>
      </c>
      <c r="X36" s="1">
        <v>1857</v>
      </c>
      <c r="Y36" s="1">
        <v>4601</v>
      </c>
      <c r="Z36" s="1">
        <v>2373</v>
      </c>
      <c r="AA36" s="1">
        <v>2228</v>
      </c>
      <c r="AB36" s="1">
        <v>5229</v>
      </c>
      <c r="AC36" s="1">
        <v>2678</v>
      </c>
      <c r="AD36" s="1">
        <v>2551</v>
      </c>
      <c r="AE36" s="1">
        <v>5406</v>
      </c>
      <c r="AF36" s="1">
        <v>2837</v>
      </c>
      <c r="AG36" s="1">
        <v>2569</v>
      </c>
      <c r="AH36" s="1">
        <v>5188</v>
      </c>
      <c r="AI36" s="1">
        <v>2817</v>
      </c>
      <c r="AJ36" s="1">
        <v>2371</v>
      </c>
      <c r="AK36" s="1">
        <v>4774</v>
      </c>
      <c r="AL36" s="1">
        <v>2616</v>
      </c>
      <c r="AM36" s="1">
        <v>2158</v>
      </c>
      <c r="AN36" s="1">
        <v>4118</v>
      </c>
      <c r="AO36" s="1">
        <v>2162</v>
      </c>
      <c r="AP36" s="1">
        <v>1956</v>
      </c>
      <c r="AQ36" s="1">
        <v>4147</v>
      </c>
      <c r="AR36" s="1">
        <v>2191</v>
      </c>
      <c r="AS36" s="1">
        <v>1956</v>
      </c>
      <c r="AT36" s="1">
        <v>4480</v>
      </c>
      <c r="AU36" s="1">
        <v>2282</v>
      </c>
      <c r="AV36" s="1">
        <v>2198</v>
      </c>
      <c r="AW36" s="1">
        <v>4956</v>
      </c>
      <c r="AX36" s="1">
        <v>2573</v>
      </c>
      <c r="AY36" s="1">
        <v>2383</v>
      </c>
      <c r="AZ36" s="1">
        <v>4240</v>
      </c>
      <c r="BA36" s="1">
        <v>2074</v>
      </c>
      <c r="BB36" s="1">
        <v>2166</v>
      </c>
      <c r="BC36" s="1">
        <v>2665</v>
      </c>
      <c r="BD36" s="1">
        <v>1218</v>
      </c>
      <c r="BE36" s="1">
        <v>1447</v>
      </c>
      <c r="BF36" s="1">
        <v>7420</v>
      </c>
      <c r="BG36" s="1">
        <v>2716</v>
      </c>
      <c r="BH36" s="1">
        <v>4704</v>
      </c>
      <c r="BI36" s="1">
        <v>2200</v>
      </c>
      <c r="BJ36" s="1">
        <v>904</v>
      </c>
      <c r="BK36" s="1">
        <v>1296</v>
      </c>
      <c r="BL36" s="1">
        <v>2040</v>
      </c>
      <c r="BM36" s="1">
        <v>808</v>
      </c>
      <c r="BN36" s="1">
        <v>1232</v>
      </c>
      <c r="BO36" s="1">
        <v>1839</v>
      </c>
      <c r="BP36" s="1">
        <v>628</v>
      </c>
      <c r="BQ36" s="1">
        <v>1211</v>
      </c>
      <c r="BR36" s="1">
        <v>1341</v>
      </c>
      <c r="BS36" s="1">
        <v>376</v>
      </c>
      <c r="BT36" s="1">
        <v>965</v>
      </c>
      <c r="BU36" s="1" cm="1">
        <f t="array" ref="BU36:BX36">_xlfn.XLOOKUP(A36,[9]ORGA_3362_CTAB_20231228113847!$A$2:$A$44,[9]ORGA_3362_CTAB_20231228113847!$C$2:$F$44,"--")</f>
        <v>1776</v>
      </c>
      <c r="BV36" s="1">
        <v>26.15</v>
      </c>
      <c r="BW36" s="1">
        <v>16.059999999999999</v>
      </c>
      <c r="BX36" s="1">
        <v>1.1499999999999999</v>
      </c>
      <c r="BY36" s="1" cm="1">
        <f t="array" ref="BY36:CC36">_xlfn.XLOOKUP(A36,[10]RYNE_3783_CTAB_20231228114052!$A$2:$A$39,[10]RYNE_3783_CTAB_20231228114052!$C$2:$G$39,"--")</f>
        <v>27</v>
      </c>
      <c r="BZ36" s="1">
        <v>6</v>
      </c>
      <c r="CA36" s="1">
        <v>14</v>
      </c>
      <c r="CB36" s="1">
        <v>7</v>
      </c>
      <c r="CC36" s="1">
        <v>0</v>
      </c>
      <c r="CD36" s="1">
        <v>15.7</v>
      </c>
      <c r="CE36" s="1" cm="1">
        <f t="array" ref="CE36:CF36">_xlfn.XLOOKUP(A36,[12]RYNE_2276_CTAB_20231228114425!$A$2:$A$44,[12]RYNE_2276_CTAB_20231228114425!$C$2:$D$44,"--")</f>
        <v>0.1</v>
      </c>
      <c r="CF36" s="1">
        <v>7.75</v>
      </c>
      <c r="CG36" s="1" cm="1">
        <f t="array" ref="CG36:CL36">_xlfn.XLOOKUP(A36,[13]SZKO_3226_CTAB_20231228114632!$A$2:$A$25,[13]SZKO_3226_CTAB_20231228114632!$C$2:$H$25,"--")</f>
        <v>72</v>
      </c>
      <c r="CH36" s="1">
        <v>56</v>
      </c>
      <c r="CI36" s="1">
        <v>16</v>
      </c>
      <c r="CJ36" s="1">
        <v>55</v>
      </c>
      <c r="CK36" s="1">
        <v>48</v>
      </c>
      <c r="CL36" s="1">
        <v>7</v>
      </c>
      <c r="CM36" s="1" cm="1">
        <f t="array" ref="CM36:CN36">_xlfn.XLOOKUP(A36,[14]WYNA_2497_CTAB_20231228114756!$A$2:$A$44,[14]WYNA_2497_CTAB_20231228114756!$C$2:$D$44,"--")</f>
        <v>2970.76</v>
      </c>
      <c r="CN36" s="1">
        <v>79.3</v>
      </c>
    </row>
    <row r="37" spans="1:92" x14ac:dyDescent="0.25">
      <c r="A37">
        <v>1434000</v>
      </c>
      <c r="B37" t="s">
        <v>35</v>
      </c>
      <c r="C37" s="1">
        <v>669.51</v>
      </c>
      <c r="D37" s="1">
        <v>668.29</v>
      </c>
      <c r="E37" s="1">
        <v>3918722.03</v>
      </c>
      <c r="F37" s="1">
        <v>2139</v>
      </c>
      <c r="G37" s="1">
        <v>16831</v>
      </c>
      <c r="H37" s="1">
        <v>2</v>
      </c>
      <c r="I37" s="1">
        <v>118.6</v>
      </c>
      <c r="J37" s="1">
        <v>564</v>
      </c>
      <c r="K37" s="1">
        <v>5786</v>
      </c>
      <c r="L37" s="1">
        <v>17.399999999999999</v>
      </c>
      <c r="M37" s="1" cm="1">
        <f t="array" ref="M37:BT37">_xlfn.XLOOKUP(A37,[8]LUDN_2137_CTAB_20231228113344!A$2:A$44,[8]LUDN_2137_CTAB_20231228113344!C$2:BJ$44,"--")</f>
        <v>225655</v>
      </c>
      <c r="N37" s="1">
        <v>108899</v>
      </c>
      <c r="O37" s="1">
        <v>116756</v>
      </c>
      <c r="P37" s="1">
        <v>15144</v>
      </c>
      <c r="Q37" s="1">
        <v>7842</v>
      </c>
      <c r="R37" s="1">
        <v>7302</v>
      </c>
      <c r="S37" s="1">
        <v>13901</v>
      </c>
      <c r="T37" s="1">
        <v>7174</v>
      </c>
      <c r="U37" s="1">
        <v>6727</v>
      </c>
      <c r="V37" s="1">
        <v>12326</v>
      </c>
      <c r="W37" s="1">
        <v>6343</v>
      </c>
      <c r="X37" s="1">
        <v>5983</v>
      </c>
      <c r="Y37" s="1">
        <v>13076</v>
      </c>
      <c r="Z37" s="1">
        <v>6623</v>
      </c>
      <c r="AA37" s="1">
        <v>6453</v>
      </c>
      <c r="AB37" s="1">
        <v>14842</v>
      </c>
      <c r="AC37" s="1">
        <v>7519</v>
      </c>
      <c r="AD37" s="1">
        <v>7323</v>
      </c>
      <c r="AE37" s="1">
        <v>18033</v>
      </c>
      <c r="AF37" s="1">
        <v>8836</v>
      </c>
      <c r="AG37" s="1">
        <v>9197</v>
      </c>
      <c r="AH37" s="1">
        <v>20934</v>
      </c>
      <c r="AI37" s="1">
        <v>10068</v>
      </c>
      <c r="AJ37" s="1">
        <v>10866</v>
      </c>
      <c r="AK37" s="1">
        <v>20172</v>
      </c>
      <c r="AL37" s="1">
        <v>9945</v>
      </c>
      <c r="AM37" s="1">
        <v>10227</v>
      </c>
      <c r="AN37" s="1">
        <v>15662</v>
      </c>
      <c r="AO37" s="1">
        <v>7820</v>
      </c>
      <c r="AP37" s="1">
        <v>7842</v>
      </c>
      <c r="AQ37" s="1">
        <v>13327</v>
      </c>
      <c r="AR37" s="1">
        <v>6698</v>
      </c>
      <c r="AS37" s="1">
        <v>6629</v>
      </c>
      <c r="AT37" s="1">
        <v>14378</v>
      </c>
      <c r="AU37" s="1">
        <v>7078</v>
      </c>
      <c r="AV37" s="1">
        <v>7300</v>
      </c>
      <c r="AW37" s="1">
        <v>15226</v>
      </c>
      <c r="AX37" s="1">
        <v>7258</v>
      </c>
      <c r="AY37" s="1">
        <v>7968</v>
      </c>
      <c r="AZ37" s="1">
        <v>12335</v>
      </c>
      <c r="BA37" s="1">
        <v>5724</v>
      </c>
      <c r="BB37" s="1">
        <v>6611</v>
      </c>
      <c r="BC37" s="1">
        <v>7937</v>
      </c>
      <c r="BD37" s="1">
        <v>3370</v>
      </c>
      <c r="BE37" s="1">
        <v>4567</v>
      </c>
      <c r="BF37" s="1">
        <v>18362</v>
      </c>
      <c r="BG37" s="1">
        <v>6601</v>
      </c>
      <c r="BH37" s="1">
        <v>11761</v>
      </c>
      <c r="BI37" s="1">
        <v>6355</v>
      </c>
      <c r="BJ37" s="1">
        <v>2560</v>
      </c>
      <c r="BK37" s="1">
        <v>3795</v>
      </c>
      <c r="BL37" s="1">
        <v>5360</v>
      </c>
      <c r="BM37" s="1">
        <v>2074</v>
      </c>
      <c r="BN37" s="1">
        <v>3286</v>
      </c>
      <c r="BO37" s="1">
        <v>3923</v>
      </c>
      <c r="BP37" s="1">
        <v>1290</v>
      </c>
      <c r="BQ37" s="1">
        <v>2633</v>
      </c>
      <c r="BR37" s="1">
        <v>2724</v>
      </c>
      <c r="BS37" s="1">
        <v>677</v>
      </c>
      <c r="BT37" s="1">
        <v>2047</v>
      </c>
      <c r="BU37" s="1" cm="1">
        <f t="array" ref="BU37:BX37">_xlfn.XLOOKUP(A37,[9]ORGA_3362_CTAB_20231228113847!$A$2:$A$44,[9]ORGA_3362_CTAB_20231228113847!$C$2:$F$44,"--")</f>
        <v>5910</v>
      </c>
      <c r="BV37" s="1">
        <v>26.35</v>
      </c>
      <c r="BW37" s="1">
        <v>19.5</v>
      </c>
      <c r="BX37" s="1">
        <v>1.84</v>
      </c>
      <c r="BY37" s="1" cm="1">
        <f t="array" ref="BY37:CC37">_xlfn.XLOOKUP(A37,[10]RYNE_3783_CTAB_20231228114052!$A$2:$A$39,[10]RYNE_3783_CTAB_20231228114052!$C$2:$G$39,"--")</f>
        <v>510</v>
      </c>
      <c r="BZ37" s="1">
        <v>76</v>
      </c>
      <c r="CA37" s="1">
        <v>201</v>
      </c>
      <c r="CB37" s="1">
        <v>125</v>
      </c>
      <c r="CC37" s="1">
        <v>108</v>
      </c>
      <c r="CD37" s="1">
        <v>15.7</v>
      </c>
      <c r="CE37" s="1" cm="1">
        <f t="array" ref="CE37:CF37">_xlfn.XLOOKUP(A37,[12]RYNE_2276_CTAB_20231228114425!$A$2:$A$44,[12]RYNE_2276_CTAB_20231228114425!$C$2:$D$44,"--")</f>
        <v>0.25</v>
      </c>
      <c r="CF37" s="1">
        <v>4.0199999999999996</v>
      </c>
      <c r="CG37" s="1" cm="1">
        <f t="array" ref="CG37:CL37">_xlfn.XLOOKUP(A37,[13]SZKO_3226_CTAB_20231228114632!$A$2:$A$25,[13]SZKO_3226_CTAB_20231228114632!$C$2:$H$25,"--")</f>
        <v>104</v>
      </c>
      <c r="CH37" s="1">
        <v>84</v>
      </c>
      <c r="CI37" s="1">
        <v>20</v>
      </c>
      <c r="CJ37" s="1">
        <v>45</v>
      </c>
      <c r="CK37" s="1">
        <v>38</v>
      </c>
      <c r="CL37" s="1">
        <v>7</v>
      </c>
      <c r="CM37" s="1" cm="1">
        <f t="array" ref="CM37:CN37">_xlfn.XLOOKUP(A37,[14]WYNA_2497_CTAB_20231228114756!$A$2:$A$44,[14]WYNA_2497_CTAB_20231228114756!$C$2:$D$44,"--")</f>
        <v>3447.14</v>
      </c>
      <c r="CN37" s="1">
        <v>92.1</v>
      </c>
    </row>
    <row r="38" spans="1:92" x14ac:dyDescent="0.25">
      <c r="A38">
        <v>1435000</v>
      </c>
      <c r="B38" t="s">
        <v>36</v>
      </c>
      <c r="C38" s="1">
        <v>1017.92</v>
      </c>
      <c r="D38" s="1">
        <v>1011.68</v>
      </c>
      <c r="E38" s="1">
        <v>3089382.94</v>
      </c>
      <c r="F38" s="1">
        <v>2143</v>
      </c>
      <c r="G38" s="1">
        <v>29354</v>
      </c>
      <c r="H38" s="1" t="str">
        <v>--</v>
      </c>
      <c r="I38" s="1" t="str">
        <v>--</v>
      </c>
      <c r="J38" s="1">
        <v>1393</v>
      </c>
      <c r="K38" s="1">
        <v>3691</v>
      </c>
      <c r="L38" s="1">
        <v>18.600000000000001</v>
      </c>
      <c r="M38" s="1" cm="1">
        <f t="array" ref="M38:BT38">_xlfn.XLOOKUP(A38,[8]LUDN_2137_CTAB_20231228113344!A$2:A$44,[8]LUDN_2137_CTAB_20231228113344!C$2:BJ$44,"--")</f>
        <v>73817</v>
      </c>
      <c r="N38" s="1">
        <v>36549</v>
      </c>
      <c r="O38" s="1">
        <v>37268</v>
      </c>
      <c r="P38" s="1">
        <v>4468</v>
      </c>
      <c r="Q38" s="1">
        <v>2315</v>
      </c>
      <c r="R38" s="1">
        <v>2153</v>
      </c>
      <c r="S38" s="1">
        <v>3994</v>
      </c>
      <c r="T38" s="1">
        <v>2086</v>
      </c>
      <c r="U38" s="1">
        <v>1908</v>
      </c>
      <c r="V38" s="1">
        <v>4214</v>
      </c>
      <c r="W38" s="1">
        <v>2095</v>
      </c>
      <c r="X38" s="1">
        <v>2119</v>
      </c>
      <c r="Y38" s="1">
        <v>4973</v>
      </c>
      <c r="Z38" s="1">
        <v>2517</v>
      </c>
      <c r="AA38" s="1">
        <v>2456</v>
      </c>
      <c r="AB38" s="1">
        <v>5883</v>
      </c>
      <c r="AC38" s="1">
        <v>2988</v>
      </c>
      <c r="AD38" s="1">
        <v>2895</v>
      </c>
      <c r="AE38" s="1">
        <v>6164</v>
      </c>
      <c r="AF38" s="1">
        <v>3234</v>
      </c>
      <c r="AG38" s="1">
        <v>2930</v>
      </c>
      <c r="AH38" s="1">
        <v>5829</v>
      </c>
      <c r="AI38" s="1">
        <v>3044</v>
      </c>
      <c r="AJ38" s="1">
        <v>2785</v>
      </c>
      <c r="AK38" s="1">
        <v>5361</v>
      </c>
      <c r="AL38" s="1">
        <v>2827</v>
      </c>
      <c r="AM38" s="1">
        <v>2534</v>
      </c>
      <c r="AN38" s="1">
        <v>4810</v>
      </c>
      <c r="AO38" s="1">
        <v>2479</v>
      </c>
      <c r="AP38" s="1">
        <v>2331</v>
      </c>
      <c r="AQ38" s="1">
        <v>4726</v>
      </c>
      <c r="AR38" s="1">
        <v>2418</v>
      </c>
      <c r="AS38" s="1">
        <v>2308</v>
      </c>
      <c r="AT38" s="1">
        <v>5027</v>
      </c>
      <c r="AU38" s="1">
        <v>2555</v>
      </c>
      <c r="AV38" s="1">
        <v>2472</v>
      </c>
      <c r="AW38" s="1">
        <v>5025</v>
      </c>
      <c r="AX38" s="1">
        <v>2541</v>
      </c>
      <c r="AY38" s="1">
        <v>2484</v>
      </c>
      <c r="AZ38" s="1">
        <v>4010</v>
      </c>
      <c r="BA38" s="1">
        <v>1864</v>
      </c>
      <c r="BB38" s="1">
        <v>2146</v>
      </c>
      <c r="BC38" s="1">
        <v>2575</v>
      </c>
      <c r="BD38" s="1">
        <v>1128</v>
      </c>
      <c r="BE38" s="1">
        <v>1447</v>
      </c>
      <c r="BF38" s="1">
        <v>6758</v>
      </c>
      <c r="BG38" s="1">
        <v>2458</v>
      </c>
      <c r="BH38" s="1">
        <v>4300</v>
      </c>
      <c r="BI38" s="1">
        <v>2308</v>
      </c>
      <c r="BJ38" s="1">
        <v>982</v>
      </c>
      <c r="BK38" s="1">
        <v>1326</v>
      </c>
      <c r="BL38" s="1">
        <v>1872</v>
      </c>
      <c r="BM38" s="1">
        <v>706</v>
      </c>
      <c r="BN38" s="1">
        <v>1166</v>
      </c>
      <c r="BO38" s="1">
        <v>1518</v>
      </c>
      <c r="BP38" s="1">
        <v>488</v>
      </c>
      <c r="BQ38" s="1">
        <v>1030</v>
      </c>
      <c r="BR38" s="1">
        <v>1060</v>
      </c>
      <c r="BS38" s="1">
        <v>282</v>
      </c>
      <c r="BT38" s="1">
        <v>778</v>
      </c>
      <c r="BU38" s="1" cm="1">
        <f t="array" ref="BU38:BX38">_xlfn.XLOOKUP(A38,[9]ORGA_3362_CTAB_20231228113847!$A$2:$A$44,[9]ORGA_3362_CTAB_20231228113847!$C$2:$F$44,"--")</f>
        <v>2274</v>
      </c>
      <c r="BV38" s="1">
        <v>30.82</v>
      </c>
      <c r="BW38" s="1">
        <v>20.59</v>
      </c>
      <c r="BX38" s="1">
        <v>2.2200000000000002</v>
      </c>
      <c r="BY38" s="1" cm="1">
        <f t="array" ref="BY38:CC38">_xlfn.XLOOKUP(A38,[10]RYNE_3783_CTAB_20231228114052!$A$2:$A$39,[10]RYNE_3783_CTAB_20231228114052!$C$2:$G$39,"--")</f>
        <v>24</v>
      </c>
      <c r="BZ38" s="1">
        <v>10</v>
      </c>
      <c r="CA38" s="1">
        <v>12</v>
      </c>
      <c r="CB38" s="1">
        <v>0</v>
      </c>
      <c r="CC38" s="1">
        <v>0</v>
      </c>
      <c r="CD38" s="1">
        <v>15.1</v>
      </c>
      <c r="CE38" s="1" cm="1">
        <f t="array" ref="CE38:CF38">_xlfn.XLOOKUP(A38,[12]RYNE_2276_CTAB_20231228114425!$A$2:$A$44,[12]RYNE_2276_CTAB_20231228114425!$C$2:$D$44,"--")</f>
        <v>0.09</v>
      </c>
      <c r="CF38" s="1">
        <v>4.82</v>
      </c>
      <c r="CG38" s="1" cm="1">
        <f t="array" ref="CG38:CL38">_xlfn.XLOOKUP(A38,[13]SZKO_3226_CTAB_20231228114632!$A$2:$A$25,[13]SZKO_3226_CTAB_20231228114632!$C$2:$H$25,"--")</f>
        <v>527</v>
      </c>
      <c r="CH38" s="1">
        <v>414</v>
      </c>
      <c r="CI38" s="1">
        <v>113</v>
      </c>
      <c r="CJ38" s="1">
        <v>331</v>
      </c>
      <c r="CK38" s="1">
        <v>300</v>
      </c>
      <c r="CL38" s="1">
        <v>31</v>
      </c>
      <c r="CM38" s="1" cm="1">
        <f t="array" ref="CM38:CN38">_xlfn.XLOOKUP(A38,[14]WYNA_2497_CTAB_20231228114756!$A$2:$A$44,[14]WYNA_2497_CTAB_20231228114756!$C$2:$D$44,"--")</f>
        <v>3119.46</v>
      </c>
      <c r="CN38" s="1">
        <v>83.3</v>
      </c>
    </row>
    <row r="39" spans="1:92" x14ac:dyDescent="0.25">
      <c r="A39">
        <v>1436000</v>
      </c>
      <c r="B39" t="s">
        <v>37</v>
      </c>
      <c r="C39" s="1">
        <v>826.35</v>
      </c>
      <c r="D39" s="1">
        <v>807.82</v>
      </c>
      <c r="E39" s="1">
        <v>1987624.81</v>
      </c>
      <c r="F39" s="1">
        <v>600</v>
      </c>
      <c r="G39" s="1">
        <v>6977</v>
      </c>
      <c r="H39" s="1">
        <v>2</v>
      </c>
      <c r="I39" s="1">
        <v>8424.4</v>
      </c>
      <c r="J39" s="1">
        <v>0</v>
      </c>
      <c r="K39" s="1">
        <v>2648</v>
      </c>
      <c r="L39" s="1">
        <v>16.899999999999999</v>
      </c>
      <c r="M39" s="1" cm="1">
        <f t="array" ref="M39:BT39">_xlfn.XLOOKUP(A39,[8]LUDN_2137_CTAB_20231228113344!A$2:A$44,[8]LUDN_2137_CTAB_20231228113344!C$2:BJ$44,"--")</f>
        <v>37069</v>
      </c>
      <c r="N39" s="1">
        <v>18479</v>
      </c>
      <c r="O39" s="1">
        <v>18590</v>
      </c>
      <c r="P39" s="1">
        <v>2023</v>
      </c>
      <c r="Q39" s="1">
        <v>1086</v>
      </c>
      <c r="R39" s="1">
        <v>937</v>
      </c>
      <c r="S39" s="1">
        <v>1839</v>
      </c>
      <c r="T39" s="1">
        <v>942</v>
      </c>
      <c r="U39" s="1">
        <v>897</v>
      </c>
      <c r="V39" s="1">
        <v>2056</v>
      </c>
      <c r="W39" s="1">
        <v>1066</v>
      </c>
      <c r="X39" s="1">
        <v>990</v>
      </c>
      <c r="Y39" s="1">
        <v>2586</v>
      </c>
      <c r="Z39" s="1">
        <v>1341</v>
      </c>
      <c r="AA39" s="1">
        <v>1245</v>
      </c>
      <c r="AB39" s="1">
        <v>2914</v>
      </c>
      <c r="AC39" s="1">
        <v>1515</v>
      </c>
      <c r="AD39" s="1">
        <v>1399</v>
      </c>
      <c r="AE39" s="1">
        <v>2857</v>
      </c>
      <c r="AF39" s="1">
        <v>1477</v>
      </c>
      <c r="AG39" s="1">
        <v>1380</v>
      </c>
      <c r="AH39" s="1">
        <v>2874</v>
      </c>
      <c r="AI39" s="1">
        <v>1533</v>
      </c>
      <c r="AJ39" s="1">
        <v>1341</v>
      </c>
      <c r="AK39" s="1">
        <v>2600</v>
      </c>
      <c r="AL39" s="1">
        <v>1379</v>
      </c>
      <c r="AM39" s="1">
        <v>1221</v>
      </c>
      <c r="AN39" s="1">
        <v>2333</v>
      </c>
      <c r="AO39" s="1">
        <v>1197</v>
      </c>
      <c r="AP39" s="1">
        <v>1136</v>
      </c>
      <c r="AQ39" s="1">
        <v>2252</v>
      </c>
      <c r="AR39" s="1">
        <v>1187</v>
      </c>
      <c r="AS39" s="1">
        <v>1065</v>
      </c>
      <c r="AT39" s="1">
        <v>2539</v>
      </c>
      <c r="AU39" s="1">
        <v>1340</v>
      </c>
      <c r="AV39" s="1">
        <v>1199</v>
      </c>
      <c r="AW39" s="1">
        <v>2660</v>
      </c>
      <c r="AX39" s="1">
        <v>1377</v>
      </c>
      <c r="AY39" s="1">
        <v>1283</v>
      </c>
      <c r="AZ39" s="1">
        <v>2116</v>
      </c>
      <c r="BA39" s="1">
        <v>1025</v>
      </c>
      <c r="BB39" s="1">
        <v>1091</v>
      </c>
      <c r="BC39" s="1">
        <v>1444</v>
      </c>
      <c r="BD39" s="1">
        <v>621</v>
      </c>
      <c r="BE39" s="1">
        <v>823</v>
      </c>
      <c r="BF39" s="1">
        <v>3976</v>
      </c>
      <c r="BG39" s="1">
        <v>1393</v>
      </c>
      <c r="BH39" s="1">
        <v>2583</v>
      </c>
      <c r="BI39" s="1">
        <v>1179</v>
      </c>
      <c r="BJ39" s="1">
        <v>477</v>
      </c>
      <c r="BK39" s="1">
        <v>702</v>
      </c>
      <c r="BL39" s="1">
        <v>1126</v>
      </c>
      <c r="BM39" s="1">
        <v>429</v>
      </c>
      <c r="BN39" s="1">
        <v>697</v>
      </c>
      <c r="BO39" s="1">
        <v>987</v>
      </c>
      <c r="BP39" s="1">
        <v>314</v>
      </c>
      <c r="BQ39" s="1">
        <v>673</v>
      </c>
      <c r="BR39" s="1">
        <v>684</v>
      </c>
      <c r="BS39" s="1">
        <v>173</v>
      </c>
      <c r="BT39" s="1">
        <v>511</v>
      </c>
      <c r="BU39" s="1" cm="1">
        <f t="array" ref="BU39:BX39">_xlfn.XLOOKUP(A39,[9]ORGA_3362_CTAB_20231228113847!$A$2:$A$44,[9]ORGA_3362_CTAB_20231228113847!$C$2:$F$44,"--")</f>
        <v>704</v>
      </c>
      <c r="BV39" s="1">
        <v>18.98</v>
      </c>
      <c r="BW39" s="1">
        <v>11.51</v>
      </c>
      <c r="BX39" s="1">
        <v>1.89</v>
      </c>
      <c r="BY39" s="1" cm="1">
        <f t="array" ref="BY39:CC39">_xlfn.XLOOKUP(A39,[10]RYNE_3783_CTAB_20231228114052!$A$2:$A$39,[10]RYNE_3783_CTAB_20231228114052!$C$2:$G$39,"--")</f>
        <v>4</v>
      </c>
      <c r="BZ39" s="1">
        <v>0</v>
      </c>
      <c r="CA39" s="1">
        <v>3</v>
      </c>
      <c r="CB39" s="1">
        <v>0</v>
      </c>
      <c r="CC39" s="1">
        <v>0</v>
      </c>
      <c r="CD39" s="1">
        <v>21.9</v>
      </c>
      <c r="CE39" s="1" cm="1">
        <f t="array" ref="CE39:CF39">_xlfn.XLOOKUP(A39,[12]RYNE_2276_CTAB_20231228114425!$A$2:$A$44,[12]RYNE_2276_CTAB_20231228114425!$C$2:$D$44,"--")</f>
        <v>0.01</v>
      </c>
      <c r="CF39" s="1">
        <v>2.12</v>
      </c>
      <c r="CG39" s="1" t="str" cm="1">
        <f t="array" ref="CG39">_xlfn.XLOOKUP(A39,[13]SZKO_3226_CTAB_20231228114632!$A$2:$A$25,[13]SZKO_3226_CTAB_20231228114632!$C$2:$H$25,"--")</f>
        <v>--</v>
      </c>
      <c r="CM39" s="1" cm="1">
        <f t="array" ref="CM39:CN39">_xlfn.XLOOKUP(A39,[14]WYNA_2497_CTAB_20231228114756!$A$2:$A$44,[14]WYNA_2497_CTAB_20231228114756!$C$2:$D$44,"--")</f>
        <v>3114.68</v>
      </c>
      <c r="CN39" s="1">
        <v>83.2</v>
      </c>
    </row>
    <row r="40" spans="1:92" x14ac:dyDescent="0.25">
      <c r="A40">
        <v>1437000</v>
      </c>
      <c r="B40" t="s">
        <v>38</v>
      </c>
      <c r="C40" s="1">
        <v>1055.3699999999999</v>
      </c>
      <c r="D40" s="1">
        <v>1025.9000000000001</v>
      </c>
      <c r="E40" s="1">
        <v>3436009.07</v>
      </c>
      <c r="F40" s="1">
        <v>610</v>
      </c>
      <c r="G40" s="1">
        <v>5100</v>
      </c>
      <c r="H40" s="1">
        <v>1</v>
      </c>
      <c r="I40" s="1">
        <v>413.4</v>
      </c>
      <c r="J40" s="1">
        <v>234</v>
      </c>
      <c r="K40" s="1">
        <v>3358</v>
      </c>
      <c r="L40" s="1">
        <v>12.6</v>
      </c>
      <c r="M40" s="1" cm="1">
        <f t="array" ref="M40:BT40">_xlfn.XLOOKUP(A40,[8]LUDN_2137_CTAB_20231228113344!A$2:A$44,[8]LUDN_2137_CTAB_20231228113344!C$2:BJ$44,"--")</f>
        <v>40300</v>
      </c>
      <c r="N40" s="1">
        <v>19915</v>
      </c>
      <c r="O40" s="1">
        <v>20385</v>
      </c>
      <c r="P40" s="1">
        <v>2135</v>
      </c>
      <c r="Q40" s="1">
        <v>1061</v>
      </c>
      <c r="R40" s="1">
        <v>1074</v>
      </c>
      <c r="S40" s="1">
        <v>2028</v>
      </c>
      <c r="T40" s="1">
        <v>1054</v>
      </c>
      <c r="U40" s="1">
        <v>974</v>
      </c>
      <c r="V40" s="1">
        <v>2311</v>
      </c>
      <c r="W40" s="1">
        <v>1176</v>
      </c>
      <c r="X40" s="1">
        <v>1135</v>
      </c>
      <c r="Y40" s="1">
        <v>2771</v>
      </c>
      <c r="Z40" s="1">
        <v>1387</v>
      </c>
      <c r="AA40" s="1">
        <v>1384</v>
      </c>
      <c r="AB40" s="1">
        <v>3154</v>
      </c>
      <c r="AC40" s="1">
        <v>1651</v>
      </c>
      <c r="AD40" s="1">
        <v>1503</v>
      </c>
      <c r="AE40" s="1">
        <v>3140</v>
      </c>
      <c r="AF40" s="1">
        <v>1657</v>
      </c>
      <c r="AG40" s="1">
        <v>1483</v>
      </c>
      <c r="AH40" s="1">
        <v>2745</v>
      </c>
      <c r="AI40" s="1">
        <v>1464</v>
      </c>
      <c r="AJ40" s="1">
        <v>1281</v>
      </c>
      <c r="AK40" s="1">
        <v>2824</v>
      </c>
      <c r="AL40" s="1">
        <v>1470</v>
      </c>
      <c r="AM40" s="1">
        <v>1354</v>
      </c>
      <c r="AN40" s="1">
        <v>2610</v>
      </c>
      <c r="AO40" s="1">
        <v>1337</v>
      </c>
      <c r="AP40" s="1">
        <v>1273</v>
      </c>
      <c r="AQ40" s="1">
        <v>2734</v>
      </c>
      <c r="AR40" s="1">
        <v>1421</v>
      </c>
      <c r="AS40" s="1">
        <v>1313</v>
      </c>
      <c r="AT40" s="1">
        <v>2822</v>
      </c>
      <c r="AU40" s="1">
        <v>1490</v>
      </c>
      <c r="AV40" s="1">
        <v>1332</v>
      </c>
      <c r="AW40" s="1">
        <v>2662</v>
      </c>
      <c r="AX40" s="1">
        <v>1353</v>
      </c>
      <c r="AY40" s="1">
        <v>1309</v>
      </c>
      <c r="AZ40" s="1">
        <v>2320</v>
      </c>
      <c r="BA40" s="1">
        <v>1100</v>
      </c>
      <c r="BB40" s="1">
        <v>1220</v>
      </c>
      <c r="BC40" s="1">
        <v>1539</v>
      </c>
      <c r="BD40" s="1">
        <v>654</v>
      </c>
      <c r="BE40" s="1">
        <v>885</v>
      </c>
      <c r="BF40" s="1">
        <v>4505</v>
      </c>
      <c r="BG40" s="1">
        <v>1640</v>
      </c>
      <c r="BH40" s="1">
        <v>2865</v>
      </c>
      <c r="BI40" s="1">
        <v>1372</v>
      </c>
      <c r="BJ40" s="1">
        <v>582</v>
      </c>
      <c r="BK40" s="1">
        <v>790</v>
      </c>
      <c r="BL40" s="1">
        <v>1359</v>
      </c>
      <c r="BM40" s="1">
        <v>551</v>
      </c>
      <c r="BN40" s="1">
        <v>808</v>
      </c>
      <c r="BO40" s="1">
        <v>1068</v>
      </c>
      <c r="BP40" s="1">
        <v>345</v>
      </c>
      <c r="BQ40" s="1">
        <v>723</v>
      </c>
      <c r="BR40" s="1">
        <v>706</v>
      </c>
      <c r="BS40" s="1">
        <v>162</v>
      </c>
      <c r="BT40" s="1">
        <v>544</v>
      </c>
      <c r="BU40" s="1" cm="1">
        <f t="array" ref="BU40:BX40">_xlfn.XLOOKUP(A40,[9]ORGA_3362_CTAB_20231228113847!$A$2:$A$44,[9]ORGA_3362_CTAB_20231228113847!$C$2:$F$44,"--")</f>
        <v>551</v>
      </c>
      <c r="BV40" s="1">
        <v>13.67</v>
      </c>
      <c r="BW40" s="1">
        <v>7.99</v>
      </c>
      <c r="BX40" s="1">
        <v>0.79</v>
      </c>
      <c r="BY40" s="1" cm="1">
        <f t="array" ref="BY40:CC40">_xlfn.XLOOKUP(A40,[10]RYNE_3783_CTAB_20231228114052!$A$2:$A$39,[10]RYNE_3783_CTAB_20231228114052!$C$2:$G$39,"--")</f>
        <v>32</v>
      </c>
      <c r="BZ40" s="1">
        <v>8</v>
      </c>
      <c r="CA40" s="1">
        <v>12</v>
      </c>
      <c r="CB40" s="1">
        <v>10</v>
      </c>
      <c r="CC40" s="1">
        <v>0</v>
      </c>
      <c r="CD40" s="1">
        <v>23.3</v>
      </c>
      <c r="CE40" s="1" cm="1">
        <f t="array" ref="CE40:CF40">_xlfn.XLOOKUP(A40,[12]RYNE_2276_CTAB_20231228114425!$A$2:$A$44,[12]RYNE_2276_CTAB_20231228114425!$C$2:$D$44,"--")</f>
        <v>0.03</v>
      </c>
      <c r="CF40" s="1">
        <v>4.18</v>
      </c>
      <c r="CG40" s="1" t="str" cm="1">
        <f t="array" ref="CG40">_xlfn.XLOOKUP(A40,[13]SZKO_3226_CTAB_20231228114632!$A$2:$A$25,[13]SZKO_3226_CTAB_20231228114632!$C$2:$H$25,"--")</f>
        <v>--</v>
      </c>
      <c r="CM40" s="1" cm="1">
        <f t="array" ref="CM40:CN40">_xlfn.XLOOKUP(A40,[14]WYNA_2497_CTAB_20231228114756!$A$2:$A$44,[14]WYNA_2497_CTAB_20231228114756!$C$2:$D$44,"--")</f>
        <v>2923.14</v>
      </c>
      <c r="CN40" s="1">
        <v>78.099999999999994</v>
      </c>
    </row>
    <row r="41" spans="1:92" x14ac:dyDescent="0.25">
      <c r="A41">
        <v>1438000</v>
      </c>
      <c r="B41" t="s">
        <v>39</v>
      </c>
      <c r="C41" s="1">
        <v>678.63</v>
      </c>
      <c r="D41" s="1">
        <v>713.26</v>
      </c>
      <c r="E41" s="1">
        <v>1939939.38</v>
      </c>
      <c r="F41" s="1">
        <v>2302</v>
      </c>
      <c r="G41" s="1">
        <v>23905</v>
      </c>
      <c r="H41" s="1">
        <v>2</v>
      </c>
      <c r="I41" s="1">
        <v>708.2</v>
      </c>
      <c r="J41" s="1">
        <v>151</v>
      </c>
      <c r="K41" s="1">
        <v>5890</v>
      </c>
      <c r="L41" s="1">
        <v>16.600000000000001</v>
      </c>
      <c r="M41" s="1" cm="1">
        <f t="array" ref="M41:BT41">_xlfn.XLOOKUP(A41,[8]LUDN_2137_CTAB_20231228113344!A$2:A$44,[8]LUDN_2137_CTAB_20231228113344!C$2:BJ$44,"--")</f>
        <v>76573</v>
      </c>
      <c r="N41" s="1">
        <v>36620</v>
      </c>
      <c r="O41" s="1">
        <v>39953</v>
      </c>
      <c r="P41" s="1">
        <v>4454</v>
      </c>
      <c r="Q41" s="1">
        <v>2292</v>
      </c>
      <c r="R41" s="1">
        <v>2162</v>
      </c>
      <c r="S41" s="1">
        <v>3875</v>
      </c>
      <c r="T41" s="1">
        <v>1951</v>
      </c>
      <c r="U41" s="1">
        <v>1924</v>
      </c>
      <c r="V41" s="1">
        <v>3692</v>
      </c>
      <c r="W41" s="1">
        <v>1876</v>
      </c>
      <c r="X41" s="1">
        <v>1816</v>
      </c>
      <c r="Y41" s="1">
        <v>4269</v>
      </c>
      <c r="Z41" s="1">
        <v>2175</v>
      </c>
      <c r="AA41" s="1">
        <v>2094</v>
      </c>
      <c r="AB41" s="1">
        <v>4970</v>
      </c>
      <c r="AC41" s="1">
        <v>2575</v>
      </c>
      <c r="AD41" s="1">
        <v>2395</v>
      </c>
      <c r="AE41" s="1">
        <v>5839</v>
      </c>
      <c r="AF41" s="1">
        <v>2955</v>
      </c>
      <c r="AG41" s="1">
        <v>2884</v>
      </c>
      <c r="AH41" s="1">
        <v>6465</v>
      </c>
      <c r="AI41" s="1">
        <v>3253</v>
      </c>
      <c r="AJ41" s="1">
        <v>3212</v>
      </c>
      <c r="AK41" s="1">
        <v>5907</v>
      </c>
      <c r="AL41" s="1">
        <v>2989</v>
      </c>
      <c r="AM41" s="1">
        <v>2918</v>
      </c>
      <c r="AN41" s="1">
        <v>4874</v>
      </c>
      <c r="AO41" s="1">
        <v>2478</v>
      </c>
      <c r="AP41" s="1">
        <v>2396</v>
      </c>
      <c r="AQ41" s="1">
        <v>4495</v>
      </c>
      <c r="AR41" s="1">
        <v>2188</v>
      </c>
      <c r="AS41" s="1">
        <v>2307</v>
      </c>
      <c r="AT41" s="1">
        <v>5216</v>
      </c>
      <c r="AU41" s="1">
        <v>2512</v>
      </c>
      <c r="AV41" s="1">
        <v>2704</v>
      </c>
      <c r="AW41" s="1">
        <v>6242</v>
      </c>
      <c r="AX41" s="1">
        <v>2905</v>
      </c>
      <c r="AY41" s="1">
        <v>3337</v>
      </c>
      <c r="AZ41" s="1">
        <v>5267</v>
      </c>
      <c r="BA41" s="1">
        <v>2417</v>
      </c>
      <c r="BB41" s="1">
        <v>2850</v>
      </c>
      <c r="BC41" s="1">
        <v>3388</v>
      </c>
      <c r="BD41" s="1">
        <v>1470</v>
      </c>
      <c r="BE41" s="1">
        <v>1918</v>
      </c>
      <c r="BF41" s="1">
        <v>7620</v>
      </c>
      <c r="BG41" s="1">
        <v>2584</v>
      </c>
      <c r="BH41" s="1">
        <v>5036</v>
      </c>
      <c r="BI41" s="1">
        <v>2512</v>
      </c>
      <c r="BJ41" s="1">
        <v>980</v>
      </c>
      <c r="BK41" s="1">
        <v>1532</v>
      </c>
      <c r="BL41" s="1">
        <v>2174</v>
      </c>
      <c r="BM41" s="1">
        <v>777</v>
      </c>
      <c r="BN41" s="1">
        <v>1397</v>
      </c>
      <c r="BO41" s="1">
        <v>1678</v>
      </c>
      <c r="BP41" s="1">
        <v>518</v>
      </c>
      <c r="BQ41" s="1">
        <v>1160</v>
      </c>
      <c r="BR41" s="1">
        <v>1256</v>
      </c>
      <c r="BS41" s="1">
        <v>309</v>
      </c>
      <c r="BT41" s="1">
        <v>947</v>
      </c>
      <c r="BU41" s="1" cm="1">
        <f t="array" ref="BU41:BX41">_xlfn.XLOOKUP(A41,[9]ORGA_3362_CTAB_20231228113847!$A$2:$A$44,[9]ORGA_3362_CTAB_20231228113847!$C$2:$F$44,"--")</f>
        <v>2150</v>
      </c>
      <c r="BV41" s="1">
        <v>28.06</v>
      </c>
      <c r="BW41" s="1">
        <v>21.76</v>
      </c>
      <c r="BX41" s="1">
        <v>1.77</v>
      </c>
      <c r="BY41" s="1" cm="1">
        <f t="array" ref="BY41:CC41">_xlfn.XLOOKUP(A41,[10]RYNE_3783_CTAB_20231228114052!$A$2:$A$39,[10]RYNE_3783_CTAB_20231228114052!$C$2:$G$39,"--")</f>
        <v>126</v>
      </c>
      <c r="BZ41" s="1">
        <v>49</v>
      </c>
      <c r="CA41" s="1">
        <v>57</v>
      </c>
      <c r="CB41" s="1">
        <v>18</v>
      </c>
      <c r="CC41" s="1">
        <v>0</v>
      </c>
      <c r="CD41" s="1">
        <v>15.3</v>
      </c>
      <c r="CE41" s="1" cm="1">
        <f t="array" ref="CE41:CF41">_xlfn.XLOOKUP(A41,[12]RYNE_2276_CTAB_20231228114425!$A$2:$A$44,[12]RYNE_2276_CTAB_20231228114425!$C$2:$D$44,"--")</f>
        <v>7.0000000000000007E-2</v>
      </c>
      <c r="CF41" s="1">
        <v>3.58</v>
      </c>
      <c r="CG41" s="1" cm="1">
        <f t="array" ref="CG41:CL41">_xlfn.XLOOKUP(A41,[13]SZKO_3226_CTAB_20231228114632!$A$2:$A$25,[13]SZKO_3226_CTAB_20231228114632!$C$2:$H$25,"--")</f>
        <v>793</v>
      </c>
      <c r="CH41" s="1">
        <v>507</v>
      </c>
      <c r="CI41" s="1">
        <v>286</v>
      </c>
      <c r="CJ41" s="1">
        <v>192</v>
      </c>
      <c r="CK41" s="1">
        <v>182</v>
      </c>
      <c r="CL41" s="1">
        <v>10</v>
      </c>
      <c r="CM41" s="1" cm="1">
        <f t="array" ref="CM41:CN41">_xlfn.XLOOKUP(A41,[14]WYNA_2497_CTAB_20231228114756!$A$2:$A$44,[14]WYNA_2497_CTAB_20231228114756!$C$2:$D$44,"--")</f>
        <v>3541.83</v>
      </c>
      <c r="CN41" s="1">
        <v>94.6</v>
      </c>
    </row>
    <row r="42" spans="1:92" x14ac:dyDescent="0.25">
      <c r="A42">
        <v>1461000</v>
      </c>
      <c r="B42" t="s">
        <v>44</v>
      </c>
      <c r="C42" s="1" t="str">
        <v>--</v>
      </c>
      <c r="D42" s="1" t="str">
        <v>--</v>
      </c>
      <c r="E42" s="1" t="str">
        <v>--</v>
      </c>
      <c r="F42" s="1">
        <v>15856</v>
      </c>
      <c r="G42" s="1">
        <v>95560</v>
      </c>
      <c r="H42" s="1">
        <v>1</v>
      </c>
      <c r="I42" s="1">
        <v>2152.6999999999998</v>
      </c>
      <c r="J42" s="1">
        <v>138</v>
      </c>
      <c r="K42" s="1">
        <v>7612</v>
      </c>
      <c r="L42" s="1">
        <v>9.6</v>
      </c>
      <c r="M42" s="1" cm="1">
        <f t="array" ref="M42:BT42">_xlfn.XLOOKUP(A42,[8]LUDN_2137_CTAB_20231228113344!A$2:A$44,[8]LUDN_2137_CTAB_20231228113344!C$2:BJ$44,"--")</f>
        <v>53287</v>
      </c>
      <c r="N42" s="1">
        <v>25592</v>
      </c>
      <c r="O42" s="1">
        <v>27695</v>
      </c>
      <c r="P42" s="1">
        <v>2846</v>
      </c>
      <c r="Q42" s="1">
        <v>1467</v>
      </c>
      <c r="R42" s="1">
        <v>1379</v>
      </c>
      <c r="S42" s="1">
        <v>2530</v>
      </c>
      <c r="T42" s="1">
        <v>1292</v>
      </c>
      <c r="U42" s="1">
        <v>1238</v>
      </c>
      <c r="V42" s="1">
        <v>2576</v>
      </c>
      <c r="W42" s="1">
        <v>1336</v>
      </c>
      <c r="X42" s="1">
        <v>1240</v>
      </c>
      <c r="Y42" s="1">
        <v>3265</v>
      </c>
      <c r="Z42" s="1">
        <v>1612</v>
      </c>
      <c r="AA42" s="1">
        <v>1653</v>
      </c>
      <c r="AB42" s="1">
        <v>3630</v>
      </c>
      <c r="AC42" s="1">
        <v>1785</v>
      </c>
      <c r="AD42" s="1">
        <v>1845</v>
      </c>
      <c r="AE42" s="1">
        <v>4697</v>
      </c>
      <c r="AF42" s="1">
        <v>2426</v>
      </c>
      <c r="AG42" s="1">
        <v>2271</v>
      </c>
      <c r="AH42" s="1">
        <v>4709</v>
      </c>
      <c r="AI42" s="1">
        <v>2482</v>
      </c>
      <c r="AJ42" s="1">
        <v>2227</v>
      </c>
      <c r="AK42" s="1">
        <v>3812</v>
      </c>
      <c r="AL42" s="1">
        <v>1926</v>
      </c>
      <c r="AM42" s="1">
        <v>1886</v>
      </c>
      <c r="AN42" s="1">
        <v>3209</v>
      </c>
      <c r="AO42" s="1">
        <v>1569</v>
      </c>
      <c r="AP42" s="1">
        <v>1640</v>
      </c>
      <c r="AQ42" s="1">
        <v>3362</v>
      </c>
      <c r="AR42" s="1">
        <v>1580</v>
      </c>
      <c r="AS42" s="1">
        <v>1782</v>
      </c>
      <c r="AT42" s="1">
        <v>4121</v>
      </c>
      <c r="AU42" s="1">
        <v>1854</v>
      </c>
      <c r="AV42" s="1">
        <v>2267</v>
      </c>
      <c r="AW42" s="1">
        <v>4735</v>
      </c>
      <c r="AX42" s="1">
        <v>2081</v>
      </c>
      <c r="AY42" s="1">
        <v>2654</v>
      </c>
      <c r="AZ42" s="1">
        <v>3757</v>
      </c>
      <c r="BA42" s="1">
        <v>1784</v>
      </c>
      <c r="BB42" s="1">
        <v>1973</v>
      </c>
      <c r="BC42" s="1">
        <v>1924</v>
      </c>
      <c r="BD42" s="1">
        <v>852</v>
      </c>
      <c r="BE42" s="1">
        <v>1072</v>
      </c>
      <c r="BF42" s="1">
        <v>4114</v>
      </c>
      <c r="BG42" s="1">
        <v>1546</v>
      </c>
      <c r="BH42" s="1">
        <v>2568</v>
      </c>
      <c r="BI42" s="1">
        <v>1526</v>
      </c>
      <c r="BJ42" s="1">
        <v>660</v>
      </c>
      <c r="BK42" s="1">
        <v>866</v>
      </c>
      <c r="BL42" s="1">
        <v>1262</v>
      </c>
      <c r="BM42" s="1">
        <v>497</v>
      </c>
      <c r="BN42" s="1">
        <v>765</v>
      </c>
      <c r="BO42" s="1">
        <v>799</v>
      </c>
      <c r="BP42" s="1">
        <v>264</v>
      </c>
      <c r="BQ42" s="1">
        <v>535</v>
      </c>
      <c r="BR42" s="1">
        <v>527</v>
      </c>
      <c r="BS42" s="1">
        <v>125</v>
      </c>
      <c r="BT42" s="1">
        <v>402</v>
      </c>
      <c r="BU42" s="1" cm="1">
        <f t="array" ref="BU42:BX42">_xlfn.XLOOKUP(A42,[9]ORGA_3362_CTAB_20231228113847!$A$2:$A$44,[9]ORGA_3362_CTAB_20231228113847!$C$2:$F$44,"--")</f>
        <v>3815</v>
      </c>
      <c r="BV42" s="1">
        <v>71.48</v>
      </c>
      <c r="BW42" s="1">
        <v>37.21</v>
      </c>
      <c r="BX42" s="1">
        <v>19.82</v>
      </c>
      <c r="BY42" s="1" cm="1">
        <f t="array" ref="BY42:CC42">_xlfn.XLOOKUP(A42,[10]RYNE_3783_CTAB_20231228114052!$A$2:$A$39,[10]RYNE_3783_CTAB_20231228114052!$C$2:$G$39,"--")</f>
        <v>77</v>
      </c>
      <c r="BZ42" s="1">
        <v>21</v>
      </c>
      <c r="CA42" s="1">
        <v>42</v>
      </c>
      <c r="CB42" s="1">
        <v>10</v>
      </c>
      <c r="CC42" s="1">
        <v>4</v>
      </c>
      <c r="CD42" s="1">
        <v>15.7</v>
      </c>
      <c r="CE42" s="1" cm="1">
        <f t="array" ref="CE42:CF42">_xlfn.XLOOKUP(A42,[12]RYNE_2276_CTAB_20231228114425!$A$2:$A$44,[12]RYNE_2276_CTAB_20231228114425!$C$2:$D$44,"--")</f>
        <v>0.21</v>
      </c>
      <c r="CF42" s="1">
        <v>9.16</v>
      </c>
      <c r="CG42" s="1" cm="1">
        <f t="array" ref="CG42:CL42">_xlfn.XLOOKUP(A42,[13]SZKO_3226_CTAB_20231228114632!$A$2:$A$25,[13]SZKO_3226_CTAB_20231228114632!$C$2:$H$25,"--")</f>
        <v>885</v>
      </c>
      <c r="CH42" s="1">
        <v>557</v>
      </c>
      <c r="CI42" s="1">
        <v>328</v>
      </c>
      <c r="CJ42" s="1">
        <v>435</v>
      </c>
      <c r="CK42" s="1">
        <v>272</v>
      </c>
      <c r="CL42" s="1">
        <v>163</v>
      </c>
      <c r="CM42" s="1" cm="1">
        <f t="array" ref="CM42:CN42">_xlfn.XLOOKUP(A42,[14]WYNA_2497_CTAB_20231228114756!$A$2:$A$44,[14]WYNA_2497_CTAB_20231228114756!$C$2:$D$44,"--")</f>
        <v>3776.11</v>
      </c>
      <c r="CN42" s="1">
        <v>100.8</v>
      </c>
    </row>
    <row r="43" spans="1:92" x14ac:dyDescent="0.25">
      <c r="A43">
        <v>1462000</v>
      </c>
      <c r="B43" t="s">
        <v>45</v>
      </c>
      <c r="C43" s="1" t="str">
        <v>--</v>
      </c>
      <c r="D43" s="1" t="str">
        <v>--</v>
      </c>
      <c r="E43" s="1" t="str">
        <v>--</v>
      </c>
      <c r="F43" s="1">
        <v>8219</v>
      </c>
      <c r="G43" s="1">
        <v>176153</v>
      </c>
      <c r="H43" s="1">
        <v>2</v>
      </c>
      <c r="I43" s="1">
        <v>6000.3</v>
      </c>
      <c r="J43" s="1">
        <v>72</v>
      </c>
      <c r="K43" s="1">
        <v>8242</v>
      </c>
      <c r="L43" s="1">
        <v>15.1</v>
      </c>
      <c r="M43" s="1" cm="1">
        <f t="array" ref="M43:BT43">_xlfn.XLOOKUP(A43,[8]LUDN_2137_CTAB_20231228113344!A$2:A$44,[8]LUDN_2137_CTAB_20231228113344!C$2:BJ$44,"--")</f>
        <v>123627</v>
      </c>
      <c r="N43" s="1">
        <v>58530</v>
      </c>
      <c r="O43" s="1">
        <v>65097</v>
      </c>
      <c r="P43" s="1">
        <v>6483</v>
      </c>
      <c r="Q43" s="1">
        <v>3374</v>
      </c>
      <c r="R43" s="1">
        <v>3109</v>
      </c>
      <c r="S43" s="1">
        <v>5665</v>
      </c>
      <c r="T43" s="1">
        <v>2886</v>
      </c>
      <c r="U43" s="1">
        <v>2779</v>
      </c>
      <c r="V43" s="1">
        <v>5318</v>
      </c>
      <c r="W43" s="1">
        <v>2725</v>
      </c>
      <c r="X43" s="1">
        <v>2593</v>
      </c>
      <c r="Y43" s="1">
        <v>6781</v>
      </c>
      <c r="Z43" s="1">
        <v>3404</v>
      </c>
      <c r="AA43" s="1">
        <v>3377</v>
      </c>
      <c r="AB43" s="1">
        <v>7719</v>
      </c>
      <c r="AC43" s="1">
        <v>3941</v>
      </c>
      <c r="AD43" s="1">
        <v>3778</v>
      </c>
      <c r="AE43" s="1">
        <v>9590</v>
      </c>
      <c r="AF43" s="1">
        <v>4856</v>
      </c>
      <c r="AG43" s="1">
        <v>4734</v>
      </c>
      <c r="AH43" s="1">
        <v>10533</v>
      </c>
      <c r="AI43" s="1">
        <v>5271</v>
      </c>
      <c r="AJ43" s="1">
        <v>5262</v>
      </c>
      <c r="AK43" s="1">
        <v>10139</v>
      </c>
      <c r="AL43" s="1">
        <v>5091</v>
      </c>
      <c r="AM43" s="1">
        <v>5048</v>
      </c>
      <c r="AN43" s="1">
        <v>8105</v>
      </c>
      <c r="AO43" s="1">
        <v>3971</v>
      </c>
      <c r="AP43" s="1">
        <v>4134</v>
      </c>
      <c r="AQ43" s="1">
        <v>7479</v>
      </c>
      <c r="AR43" s="1">
        <v>3614</v>
      </c>
      <c r="AS43" s="1">
        <v>3865</v>
      </c>
      <c r="AT43" s="1">
        <v>8312</v>
      </c>
      <c r="AU43" s="1">
        <v>3830</v>
      </c>
      <c r="AV43" s="1">
        <v>4482</v>
      </c>
      <c r="AW43" s="1">
        <v>10066</v>
      </c>
      <c r="AX43" s="1">
        <v>4384</v>
      </c>
      <c r="AY43" s="1">
        <v>5682</v>
      </c>
      <c r="AZ43" s="1">
        <v>9603</v>
      </c>
      <c r="BA43" s="1">
        <v>4221</v>
      </c>
      <c r="BB43" s="1">
        <v>5382</v>
      </c>
      <c r="BC43" s="1">
        <v>6322</v>
      </c>
      <c r="BD43" s="1">
        <v>2694</v>
      </c>
      <c r="BE43" s="1">
        <v>3628</v>
      </c>
      <c r="BF43" s="1">
        <v>11512</v>
      </c>
      <c r="BG43" s="1">
        <v>4268</v>
      </c>
      <c r="BH43" s="1">
        <v>7244</v>
      </c>
      <c r="BI43" s="1">
        <v>4465</v>
      </c>
      <c r="BJ43" s="1">
        <v>1844</v>
      </c>
      <c r="BK43" s="1">
        <v>2621</v>
      </c>
      <c r="BL43" s="1">
        <v>3425</v>
      </c>
      <c r="BM43" s="1">
        <v>1354</v>
      </c>
      <c r="BN43" s="1">
        <v>2071</v>
      </c>
      <c r="BO43" s="1">
        <v>2140</v>
      </c>
      <c r="BP43" s="1">
        <v>730</v>
      </c>
      <c r="BQ43" s="1">
        <v>1410</v>
      </c>
      <c r="BR43" s="1">
        <v>1482</v>
      </c>
      <c r="BS43" s="1">
        <v>340</v>
      </c>
      <c r="BT43" s="1">
        <v>1142</v>
      </c>
      <c r="BU43" s="1" cm="1">
        <f t="array" ref="BU43:BX43">_xlfn.XLOOKUP(A43,[9]ORGA_3362_CTAB_20231228113847!$A$2:$A$44,[9]ORGA_3362_CTAB_20231228113847!$C$2:$F$44,"--")</f>
        <v>4826</v>
      </c>
      <c r="BV43" s="1">
        <v>38.9</v>
      </c>
      <c r="BW43" s="1">
        <v>26.45</v>
      </c>
      <c r="BX43" s="1">
        <v>4.58</v>
      </c>
      <c r="BY43" s="1" cm="1">
        <f t="array" ref="BY43:CC43">_xlfn.XLOOKUP(A43,[10]RYNE_3783_CTAB_20231228114052!$A$2:$A$39,[10]RYNE_3783_CTAB_20231228114052!$C$2:$G$39,"--")</f>
        <v>630</v>
      </c>
      <c r="BZ43" s="1">
        <v>153</v>
      </c>
      <c r="CA43" s="1">
        <v>338</v>
      </c>
      <c r="CB43" s="1">
        <v>112</v>
      </c>
      <c r="CC43" s="1">
        <v>27</v>
      </c>
      <c r="CD43" s="1">
        <v>12.8</v>
      </c>
      <c r="CE43" s="1" cm="1">
        <f t="array" ref="CE43:CF43">_xlfn.XLOOKUP(A43,[12]RYNE_2276_CTAB_20231228114425!$A$2:$A$44,[12]RYNE_2276_CTAB_20231228114425!$C$2:$D$44,"--")</f>
        <v>0.54</v>
      </c>
      <c r="CF43" s="1">
        <v>8.69</v>
      </c>
      <c r="CG43" s="1" cm="1">
        <f t="array" ref="CG43:CL43">_xlfn.XLOOKUP(A43,[13]SZKO_3226_CTAB_20231228114632!$A$2:$A$25,[13]SZKO_3226_CTAB_20231228114632!$C$2:$H$25,"--")</f>
        <v>7943</v>
      </c>
      <c r="CH43" s="1">
        <v>4485</v>
      </c>
      <c r="CI43" s="1">
        <v>3458</v>
      </c>
      <c r="CJ43" s="1">
        <v>2609</v>
      </c>
      <c r="CK43" s="1">
        <v>1626</v>
      </c>
      <c r="CL43" s="1">
        <v>983</v>
      </c>
      <c r="CM43" s="1" cm="1">
        <f t="array" ref="CM43:CN43">_xlfn.XLOOKUP(A43,[14]WYNA_2497_CTAB_20231228114756!$A$2:$A$44,[14]WYNA_2497_CTAB_20231228114756!$C$2:$D$44,"--")</f>
        <v>4618.2</v>
      </c>
      <c r="CN43" s="1">
        <v>123.3</v>
      </c>
    </row>
    <row r="44" spans="1:92" x14ac:dyDescent="0.25">
      <c r="A44">
        <v>1463000</v>
      </c>
      <c r="B44" t="s">
        <v>46</v>
      </c>
      <c r="C44" s="1" t="str">
        <v>--</v>
      </c>
      <c r="D44" s="1" t="str">
        <v>--</v>
      </c>
      <c r="E44" s="1" t="str">
        <v>--</v>
      </c>
      <c r="F44" s="1">
        <v>1735</v>
      </c>
      <c r="G44" s="1">
        <v>28673</v>
      </c>
      <c r="H44" s="1">
        <v>3</v>
      </c>
      <c r="I44" s="1">
        <v>3147.9</v>
      </c>
      <c r="J44" s="1">
        <v>84</v>
      </c>
      <c r="K44" s="1">
        <v>12924</v>
      </c>
      <c r="L44" s="1">
        <v>14.8</v>
      </c>
      <c r="M44" s="1" cm="1">
        <f t="array" ref="M44:BT44">_xlfn.XLOOKUP(A44,[8]LUDN_2137_CTAB_20231228113344!A$2:A$44,[8]LUDN_2137_CTAB_20231228113344!C$2:BJ$44,"--")</f>
        <v>219703</v>
      </c>
      <c r="N44" s="1">
        <v>104506</v>
      </c>
      <c r="O44" s="1">
        <v>115197</v>
      </c>
      <c r="P44" s="1">
        <v>10941</v>
      </c>
      <c r="Q44" s="1">
        <v>5664</v>
      </c>
      <c r="R44" s="1">
        <v>5277</v>
      </c>
      <c r="S44" s="1">
        <v>10361</v>
      </c>
      <c r="T44" s="1">
        <v>5297</v>
      </c>
      <c r="U44" s="1">
        <v>5064</v>
      </c>
      <c r="V44" s="1">
        <v>10240</v>
      </c>
      <c r="W44" s="1">
        <v>5317</v>
      </c>
      <c r="X44" s="1">
        <v>4923</v>
      </c>
      <c r="Y44" s="1">
        <v>12368</v>
      </c>
      <c r="Z44" s="1">
        <v>6325</v>
      </c>
      <c r="AA44" s="1">
        <v>6043</v>
      </c>
      <c r="AB44" s="1">
        <v>14998</v>
      </c>
      <c r="AC44" s="1">
        <v>7820</v>
      </c>
      <c r="AD44" s="1">
        <v>7178</v>
      </c>
      <c r="AE44" s="1">
        <v>17784</v>
      </c>
      <c r="AF44" s="1">
        <v>9147</v>
      </c>
      <c r="AG44" s="1">
        <v>8637</v>
      </c>
      <c r="AH44" s="1">
        <v>18634</v>
      </c>
      <c r="AI44" s="1">
        <v>9582</v>
      </c>
      <c r="AJ44" s="1">
        <v>9052</v>
      </c>
      <c r="AK44" s="1">
        <v>16253</v>
      </c>
      <c r="AL44" s="1">
        <v>8210</v>
      </c>
      <c r="AM44" s="1">
        <v>8043</v>
      </c>
      <c r="AN44" s="1">
        <v>13409</v>
      </c>
      <c r="AO44" s="1">
        <v>6663</v>
      </c>
      <c r="AP44" s="1">
        <v>6746</v>
      </c>
      <c r="AQ44" s="1">
        <v>12896</v>
      </c>
      <c r="AR44" s="1">
        <v>6164</v>
      </c>
      <c r="AS44" s="1">
        <v>6732</v>
      </c>
      <c r="AT44" s="1">
        <v>15733</v>
      </c>
      <c r="AU44" s="1">
        <v>7337</v>
      </c>
      <c r="AV44" s="1">
        <v>8396</v>
      </c>
      <c r="AW44" s="1">
        <v>18624</v>
      </c>
      <c r="AX44" s="1">
        <v>8527</v>
      </c>
      <c r="AY44" s="1">
        <v>10097</v>
      </c>
      <c r="AZ44" s="1">
        <v>14992</v>
      </c>
      <c r="BA44" s="1">
        <v>6452</v>
      </c>
      <c r="BB44" s="1">
        <v>8540</v>
      </c>
      <c r="BC44" s="1">
        <v>10153</v>
      </c>
      <c r="BD44" s="1">
        <v>4284</v>
      </c>
      <c r="BE44" s="1">
        <v>5869</v>
      </c>
      <c r="BF44" s="1">
        <v>22317</v>
      </c>
      <c r="BG44" s="1">
        <v>7717</v>
      </c>
      <c r="BH44" s="1">
        <v>14600</v>
      </c>
      <c r="BI44" s="1">
        <v>7145</v>
      </c>
      <c r="BJ44" s="1">
        <v>2667</v>
      </c>
      <c r="BK44" s="1">
        <v>4478</v>
      </c>
      <c r="BL44" s="1">
        <v>6941</v>
      </c>
      <c r="BM44" s="1">
        <v>2522</v>
      </c>
      <c r="BN44" s="1">
        <v>4419</v>
      </c>
      <c r="BO44" s="1">
        <v>5086</v>
      </c>
      <c r="BP44" s="1">
        <v>1706</v>
      </c>
      <c r="BQ44" s="1">
        <v>3380</v>
      </c>
      <c r="BR44" s="1">
        <v>3145</v>
      </c>
      <c r="BS44" s="1">
        <v>822</v>
      </c>
      <c r="BT44" s="1">
        <v>2323</v>
      </c>
      <c r="BU44" s="1" cm="1">
        <f t="array" ref="BU44:BX44">_xlfn.XLOOKUP(A44,[9]ORGA_3362_CTAB_20231228113847!$A$2:$A$44,[9]ORGA_3362_CTAB_20231228113847!$C$2:$F$44,"--")</f>
        <v>8798</v>
      </c>
      <c r="BV44" s="1">
        <v>39.979999999999997</v>
      </c>
      <c r="BW44" s="1">
        <v>26.92</v>
      </c>
      <c r="BX44" s="1">
        <v>3.05</v>
      </c>
      <c r="BY44" s="1" cm="1">
        <f t="array" ref="BY44:CC44">_xlfn.XLOOKUP(A44,[10]RYNE_3783_CTAB_20231228114052!$A$2:$A$39,[10]RYNE_3783_CTAB_20231228114052!$C$2:$G$39,"--")</f>
        <v>417</v>
      </c>
      <c r="BZ44" s="1">
        <v>93</v>
      </c>
      <c r="CA44" s="1">
        <v>185</v>
      </c>
      <c r="CB44" s="1">
        <v>118</v>
      </c>
      <c r="CC44" s="1">
        <v>21</v>
      </c>
      <c r="CD44" s="1">
        <v>22.6</v>
      </c>
      <c r="CE44" s="1" cm="1">
        <f t="array" ref="CE44:CF44">_xlfn.XLOOKUP(A44,[12]RYNE_2276_CTAB_20231228114425!$A$2:$A$44,[12]RYNE_2276_CTAB_20231228114425!$C$2:$D$44,"--")</f>
        <v>0.39</v>
      </c>
      <c r="CF44" s="1">
        <v>5.07</v>
      </c>
      <c r="CG44" s="1" cm="1">
        <f t="array" ref="CG44:CL44">_xlfn.XLOOKUP(A44,[13]SZKO_3226_CTAB_20231228114632!$A$2:$A$25,[13]SZKO_3226_CTAB_20231228114632!$C$2:$H$25,"--")</f>
        <v>13257</v>
      </c>
      <c r="CH44" s="1">
        <v>7176</v>
      </c>
      <c r="CI44" s="1">
        <v>6081</v>
      </c>
      <c r="CJ44" s="1">
        <v>4144</v>
      </c>
      <c r="CK44" s="1">
        <v>2452</v>
      </c>
      <c r="CL44" s="1">
        <v>1692</v>
      </c>
      <c r="CM44" s="1" cm="1">
        <f t="array" ref="CM44:CN44">_xlfn.XLOOKUP(A44,[14]WYNA_2497_CTAB_20231228114756!$A$2:$A$44,[14]WYNA_2497_CTAB_20231228114756!$C$2:$D$44,"--")</f>
        <v>3411.51</v>
      </c>
      <c r="CN44" s="1">
        <v>91.1</v>
      </c>
    </row>
    <row r="45" spans="1:92" x14ac:dyDescent="0.25">
      <c r="A45">
        <v>1464000</v>
      </c>
      <c r="B45" t="s">
        <v>47</v>
      </c>
      <c r="C45" s="1" t="str">
        <v>--</v>
      </c>
      <c r="D45" s="1" t="str">
        <v>--</v>
      </c>
      <c r="E45" s="1" t="str">
        <v>--</v>
      </c>
      <c r="F45" s="1">
        <v>2371</v>
      </c>
      <c r="G45" s="1">
        <v>33423</v>
      </c>
      <c r="H45" s="1">
        <v>1</v>
      </c>
      <c r="I45" s="1">
        <v>937.4</v>
      </c>
      <c r="J45" s="1">
        <v>84</v>
      </c>
      <c r="K45" s="1">
        <v>8488</v>
      </c>
      <c r="L45" s="1">
        <v>19.2</v>
      </c>
      <c r="M45" s="1" cm="1">
        <f t="array" ref="M45:BT45">_xlfn.XLOOKUP(A45,[8]LUDN_2137_CTAB_20231228113344!A$2:A$44,[8]LUDN_2137_CTAB_20231228113344!C$2:BJ$44,"--")</f>
        <v>76393</v>
      </c>
      <c r="N45" s="1">
        <v>36157</v>
      </c>
      <c r="O45" s="1">
        <v>40236</v>
      </c>
      <c r="P45" s="1">
        <v>4416</v>
      </c>
      <c r="Q45" s="1">
        <v>2240</v>
      </c>
      <c r="R45" s="1">
        <v>2176</v>
      </c>
      <c r="S45" s="1">
        <v>3939</v>
      </c>
      <c r="T45" s="1">
        <v>2058</v>
      </c>
      <c r="U45" s="1">
        <v>1881</v>
      </c>
      <c r="V45" s="1">
        <v>3566</v>
      </c>
      <c r="W45" s="1">
        <v>1846</v>
      </c>
      <c r="X45" s="1">
        <v>1720</v>
      </c>
      <c r="Y45" s="1">
        <v>4272</v>
      </c>
      <c r="Z45" s="1">
        <v>2226</v>
      </c>
      <c r="AA45" s="1">
        <v>2046</v>
      </c>
      <c r="AB45" s="1">
        <v>5311</v>
      </c>
      <c r="AC45" s="1">
        <v>2625</v>
      </c>
      <c r="AD45" s="1">
        <v>2686</v>
      </c>
      <c r="AE45" s="1">
        <v>6803</v>
      </c>
      <c r="AF45" s="1">
        <v>3378</v>
      </c>
      <c r="AG45" s="1">
        <v>3425</v>
      </c>
      <c r="AH45" s="1">
        <v>6990</v>
      </c>
      <c r="AI45" s="1">
        <v>3577</v>
      </c>
      <c r="AJ45" s="1">
        <v>3413</v>
      </c>
      <c r="AK45" s="1">
        <v>5806</v>
      </c>
      <c r="AL45" s="1">
        <v>2833</v>
      </c>
      <c r="AM45" s="1">
        <v>2973</v>
      </c>
      <c r="AN45" s="1">
        <v>4489</v>
      </c>
      <c r="AO45" s="1">
        <v>2205</v>
      </c>
      <c r="AP45" s="1">
        <v>2284</v>
      </c>
      <c r="AQ45" s="1">
        <v>4178</v>
      </c>
      <c r="AR45" s="1">
        <v>1927</v>
      </c>
      <c r="AS45" s="1">
        <v>2251</v>
      </c>
      <c r="AT45" s="1">
        <v>5159</v>
      </c>
      <c r="AU45" s="1">
        <v>2270</v>
      </c>
      <c r="AV45" s="1">
        <v>2889</v>
      </c>
      <c r="AW45" s="1">
        <v>6379</v>
      </c>
      <c r="AX45" s="1">
        <v>2809</v>
      </c>
      <c r="AY45" s="1">
        <v>3570</v>
      </c>
      <c r="AZ45" s="1">
        <v>5392</v>
      </c>
      <c r="BA45" s="1">
        <v>2437</v>
      </c>
      <c r="BB45" s="1">
        <v>2955</v>
      </c>
      <c r="BC45" s="1">
        <v>3320</v>
      </c>
      <c r="BD45" s="1">
        <v>1449</v>
      </c>
      <c r="BE45" s="1">
        <v>1871</v>
      </c>
      <c r="BF45" s="1">
        <v>6373</v>
      </c>
      <c r="BG45" s="1">
        <v>2277</v>
      </c>
      <c r="BH45" s="1">
        <v>4096</v>
      </c>
      <c r="BI45" s="1">
        <v>2193</v>
      </c>
      <c r="BJ45" s="1">
        <v>893</v>
      </c>
      <c r="BK45" s="1">
        <v>1300</v>
      </c>
      <c r="BL45" s="1">
        <v>1914</v>
      </c>
      <c r="BM45" s="1">
        <v>692</v>
      </c>
      <c r="BN45" s="1">
        <v>1222</v>
      </c>
      <c r="BO45" s="1">
        <v>1324</v>
      </c>
      <c r="BP45" s="1">
        <v>441</v>
      </c>
      <c r="BQ45" s="1">
        <v>883</v>
      </c>
      <c r="BR45" s="1">
        <v>942</v>
      </c>
      <c r="BS45" s="1">
        <v>251</v>
      </c>
      <c r="BT45" s="1">
        <v>691</v>
      </c>
      <c r="BU45" s="1" cm="1">
        <f t="array" ref="BU45:BX45">_xlfn.XLOOKUP(A45,[9]ORGA_3362_CTAB_20231228113847!$A$2:$A$44,[9]ORGA_3362_CTAB_20231228113847!$C$2:$F$44,"--")</f>
        <v>3313</v>
      </c>
      <c r="BV45" s="1">
        <v>43.31</v>
      </c>
      <c r="BW45" s="1">
        <v>28.38</v>
      </c>
      <c r="BX45" s="1">
        <v>4.6500000000000004</v>
      </c>
      <c r="BY45" s="1" cm="1">
        <f t="array" ref="BY45:CC45">_xlfn.XLOOKUP(A45,[10]RYNE_3783_CTAB_20231228114052!$A$2:$A$39,[10]RYNE_3783_CTAB_20231228114052!$C$2:$G$39,"--")</f>
        <v>562</v>
      </c>
      <c r="BZ45" s="1">
        <v>103</v>
      </c>
      <c r="CA45" s="1">
        <v>297</v>
      </c>
      <c r="CB45" s="1">
        <v>142</v>
      </c>
      <c r="CC45" s="1">
        <v>20</v>
      </c>
      <c r="CD45" s="1">
        <v>11.5</v>
      </c>
      <c r="CE45" s="1" cm="1">
        <f t="array" ref="CE45:CF45">_xlfn.XLOOKUP(A45,[12]RYNE_2276_CTAB_20231228114425!$A$2:$A$44,[12]RYNE_2276_CTAB_20231228114425!$C$2:$D$44,"--")</f>
        <v>0.28000000000000003</v>
      </c>
      <c r="CF45" s="1">
        <v>8.02</v>
      </c>
      <c r="CG45" s="1" cm="1">
        <f t="array" ref="CG45:CL45">_xlfn.XLOOKUP(A45,[13]SZKO_3226_CTAB_20231228114632!$A$2:$A$25,[13]SZKO_3226_CTAB_20231228114632!$C$2:$H$25,"--")</f>
        <v>10411</v>
      </c>
      <c r="CH45" s="1">
        <v>6608</v>
      </c>
      <c r="CI45" s="1">
        <v>3803</v>
      </c>
      <c r="CJ45" s="1">
        <v>4467</v>
      </c>
      <c r="CK45" s="1">
        <v>3130</v>
      </c>
      <c r="CL45" s="1">
        <v>1337</v>
      </c>
      <c r="CM45" s="1" cm="1">
        <f t="array" ref="CM45:CN45">_xlfn.XLOOKUP(A45,[14]WYNA_2497_CTAB_20231228114756!$A$2:$A$44,[14]WYNA_2497_CTAB_20231228114756!$C$2:$D$44,"--")</f>
        <v>3470.66</v>
      </c>
      <c r="CN45" s="1">
        <v>92.7</v>
      </c>
    </row>
    <row r="46" spans="1:92" x14ac:dyDescent="0.25">
      <c r="A46">
        <v>1465000</v>
      </c>
      <c r="B46" t="s">
        <v>48</v>
      </c>
      <c r="C46" s="1" t="str">
        <v>--</v>
      </c>
      <c r="D46" s="1" t="str">
        <v>--</v>
      </c>
      <c r="E46" s="1" t="str">
        <v>--</v>
      </c>
      <c r="F46" s="1">
        <v>10508</v>
      </c>
      <c r="G46" s="1">
        <v>150085</v>
      </c>
      <c r="H46" s="1">
        <v>61</v>
      </c>
      <c r="I46" s="1">
        <v>34800.699999999997</v>
      </c>
      <c r="J46" s="1">
        <v>57</v>
      </c>
      <c r="K46" s="1">
        <v>6548</v>
      </c>
      <c r="L46" s="1">
        <v>14.6</v>
      </c>
      <c r="M46" s="1" cm="1">
        <f t="array" ref="M46:BT46">_xlfn.XLOOKUP(A46,[8]LUDN_2137_CTAB_20231228113344!A$2:A$44,[8]LUDN_2137_CTAB_20231228113344!C$2:BJ$44,"--")</f>
        <v>1715517</v>
      </c>
      <c r="N46" s="1">
        <v>786888</v>
      </c>
      <c r="O46" s="1">
        <v>928629</v>
      </c>
      <c r="P46" s="1">
        <v>96858</v>
      </c>
      <c r="Q46" s="1">
        <v>49994</v>
      </c>
      <c r="R46" s="1">
        <v>46864</v>
      </c>
      <c r="S46" s="1">
        <v>76998</v>
      </c>
      <c r="T46" s="1">
        <v>39180</v>
      </c>
      <c r="U46" s="1">
        <v>37818</v>
      </c>
      <c r="V46" s="1">
        <v>60059</v>
      </c>
      <c r="W46" s="1">
        <v>30672</v>
      </c>
      <c r="X46" s="1">
        <v>29387</v>
      </c>
      <c r="Y46" s="1">
        <v>63740</v>
      </c>
      <c r="Z46" s="1">
        <v>32451</v>
      </c>
      <c r="AA46" s="1">
        <v>31289</v>
      </c>
      <c r="AB46" s="1">
        <v>94397</v>
      </c>
      <c r="AC46" s="1">
        <v>46421</v>
      </c>
      <c r="AD46" s="1">
        <v>47976</v>
      </c>
      <c r="AE46" s="1">
        <v>144054</v>
      </c>
      <c r="AF46" s="1">
        <v>68501</v>
      </c>
      <c r="AG46" s="1">
        <v>75553</v>
      </c>
      <c r="AH46" s="1">
        <v>161108</v>
      </c>
      <c r="AI46" s="1">
        <v>75908</v>
      </c>
      <c r="AJ46" s="1">
        <v>85200</v>
      </c>
      <c r="AK46" s="1">
        <v>150436</v>
      </c>
      <c r="AL46" s="1">
        <v>71631</v>
      </c>
      <c r="AM46" s="1">
        <v>78805</v>
      </c>
      <c r="AN46" s="1">
        <v>105868</v>
      </c>
      <c r="AO46" s="1">
        <v>51485</v>
      </c>
      <c r="AP46" s="1">
        <v>54383</v>
      </c>
      <c r="AQ46" s="1">
        <v>88730</v>
      </c>
      <c r="AR46" s="1">
        <v>42770</v>
      </c>
      <c r="AS46" s="1">
        <v>45960</v>
      </c>
      <c r="AT46" s="1">
        <v>105446</v>
      </c>
      <c r="AU46" s="1">
        <v>48698</v>
      </c>
      <c r="AV46" s="1">
        <v>56748</v>
      </c>
      <c r="AW46" s="1">
        <v>137463</v>
      </c>
      <c r="AX46" s="1">
        <v>61242</v>
      </c>
      <c r="AY46" s="1">
        <v>76221</v>
      </c>
      <c r="AZ46" s="1">
        <v>122154</v>
      </c>
      <c r="BA46" s="1">
        <v>53205</v>
      </c>
      <c r="BB46" s="1">
        <v>68949</v>
      </c>
      <c r="BC46" s="1">
        <v>84709</v>
      </c>
      <c r="BD46" s="1">
        <v>34967</v>
      </c>
      <c r="BE46" s="1">
        <v>49742</v>
      </c>
      <c r="BF46" s="1">
        <v>223497</v>
      </c>
      <c r="BG46" s="1">
        <v>79763</v>
      </c>
      <c r="BH46" s="1">
        <v>143734</v>
      </c>
      <c r="BI46" s="1">
        <v>65891</v>
      </c>
      <c r="BJ46" s="1">
        <v>25127</v>
      </c>
      <c r="BK46" s="1">
        <v>40764</v>
      </c>
      <c r="BL46" s="1">
        <v>65483</v>
      </c>
      <c r="BM46" s="1">
        <v>23572</v>
      </c>
      <c r="BN46" s="1">
        <v>41911</v>
      </c>
      <c r="BO46" s="1">
        <v>54344</v>
      </c>
      <c r="BP46" s="1">
        <v>19511</v>
      </c>
      <c r="BQ46" s="1">
        <v>34833</v>
      </c>
      <c r="BR46" s="1">
        <v>37779</v>
      </c>
      <c r="BS46" s="1">
        <v>11553</v>
      </c>
      <c r="BT46" s="1">
        <v>26226</v>
      </c>
      <c r="BU46" s="1" cm="1">
        <f t="array" ref="BU46:BX46">_xlfn.XLOOKUP(A46,[9]ORGA_3362_CTAB_20231228113847!$A$2:$A$44,[9]ORGA_3362_CTAB_20231228113847!$C$2:$F$44,"--")</f>
        <v>57087</v>
      </c>
      <c r="BV46" s="1">
        <v>33.36</v>
      </c>
      <c r="BW46" s="1">
        <v>27.83</v>
      </c>
      <c r="BX46" s="1">
        <v>2.95</v>
      </c>
      <c r="BY46" s="1" cm="1">
        <f t="array" ref="BY46:CC46">_xlfn.XLOOKUP(A46,[10]RYNE_3783_CTAB_20231228114052!$A$2:$A$39,[10]RYNE_3783_CTAB_20231228114052!$C$2:$G$39,"--")</f>
        <v>10604</v>
      </c>
      <c r="BZ46" s="1">
        <v>2736</v>
      </c>
      <c r="CA46" s="1">
        <v>4257</v>
      </c>
      <c r="CB46" s="1">
        <v>1920</v>
      </c>
      <c r="CC46" s="1">
        <v>1691</v>
      </c>
      <c r="CD46" s="1">
        <v>4.3</v>
      </c>
      <c r="CE46" s="1" cm="1">
        <f t="array" ref="CE46:CF46">_xlfn.XLOOKUP(A46,[12]RYNE_2276_CTAB_20231228114425!$A$2:$A$44,[12]RYNE_2276_CTAB_20231228114425!$C$2:$D$44,"--")</f>
        <v>6.26</v>
      </c>
      <c r="CF46" s="1">
        <v>5.29</v>
      </c>
      <c r="CG46" s="1" cm="1">
        <f t="array" ref="CG46:CL46">_xlfn.XLOOKUP(A46,[13]SZKO_3226_CTAB_20231228114632!$A$2:$A$25,[13]SZKO_3226_CTAB_20231228114632!$C$2:$H$25,"--")</f>
        <v>268555</v>
      </c>
      <c r="CH46" s="1">
        <v>154012</v>
      </c>
      <c r="CI46" s="1">
        <v>114543</v>
      </c>
      <c r="CJ46" s="1">
        <v>69272</v>
      </c>
      <c r="CK46" s="1">
        <v>44059</v>
      </c>
      <c r="CL46" s="1">
        <v>25213</v>
      </c>
      <c r="CM46" s="1" cm="1">
        <f t="array" ref="CM46:CN46">_xlfn.XLOOKUP(A46,[14]WYNA_2497_CTAB_20231228114756!$A$2:$A$44,[14]WYNA_2497_CTAB_20231228114756!$C$2:$D$44,"--")</f>
        <v>5077.53</v>
      </c>
      <c r="CN46" s="1">
        <v>135.6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461-76CE-4889-BB33-B8C8FC14D44F}">
  <dimension ref="A1:CN45"/>
  <sheetViews>
    <sheetView tabSelected="1" workbookViewId="0">
      <selection activeCell="M50" sqref="M50"/>
    </sheetView>
  </sheetViews>
  <sheetFormatPr defaultRowHeight="15" x14ac:dyDescent="0.25"/>
  <sheetData>
    <row r="1" spans="1:92" x14ac:dyDescent="0.25">
      <c r="C1" s="1">
        <v>2414</v>
      </c>
      <c r="D1" s="1">
        <v>2410</v>
      </c>
      <c r="E1" s="1">
        <v>2910</v>
      </c>
      <c r="F1" s="1">
        <v>2755</v>
      </c>
      <c r="G1" s="1"/>
      <c r="H1" s="1">
        <v>1679</v>
      </c>
      <c r="I1" s="1"/>
      <c r="J1" s="1">
        <v>2364</v>
      </c>
      <c r="K1" s="1">
        <v>2381</v>
      </c>
      <c r="L1" s="1"/>
      <c r="M1" s="1">
        <v>2137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>
        <v>3362</v>
      </c>
      <c r="BV1" s="1"/>
      <c r="BW1" s="1"/>
      <c r="BX1" s="1"/>
      <c r="BY1" s="1">
        <v>3783</v>
      </c>
      <c r="BZ1" s="1"/>
      <c r="CA1" s="1"/>
      <c r="CB1" s="1"/>
      <c r="CC1" s="1"/>
      <c r="CD1" s="1">
        <v>2392</v>
      </c>
      <c r="CE1" s="1">
        <v>2276</v>
      </c>
      <c r="CF1" s="1"/>
      <c r="CG1" s="1">
        <v>3226</v>
      </c>
      <c r="CH1" s="1"/>
      <c r="CI1" s="1"/>
      <c r="CJ1" s="1"/>
      <c r="CK1" s="1"/>
      <c r="CL1" s="1"/>
      <c r="CM1" s="1">
        <v>2497</v>
      </c>
      <c r="CN1" s="1"/>
    </row>
    <row r="2" spans="1:92" x14ac:dyDescent="0.25">
      <c r="A2" t="s">
        <v>0</v>
      </c>
      <c r="B2" t="s">
        <v>1</v>
      </c>
      <c r="C2" s="1" t="s">
        <v>40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82</v>
      </c>
      <c r="AP2" s="1" t="s">
        <v>83</v>
      </c>
      <c r="AQ2" s="1" t="s">
        <v>84</v>
      </c>
      <c r="AR2" s="1" t="s">
        <v>85</v>
      </c>
      <c r="AS2" s="1" t="s">
        <v>86</v>
      </c>
      <c r="AT2" s="1" t="s">
        <v>87</v>
      </c>
      <c r="AU2" s="1" t="s">
        <v>88</v>
      </c>
      <c r="AV2" s="1" t="s">
        <v>89</v>
      </c>
      <c r="AW2" s="1" t="s">
        <v>90</v>
      </c>
      <c r="AX2" s="1" t="s">
        <v>91</v>
      </c>
      <c r="AY2" s="1" t="s">
        <v>92</v>
      </c>
      <c r="AZ2" s="1" t="s">
        <v>93</v>
      </c>
      <c r="BA2" s="1" t="s">
        <v>94</v>
      </c>
      <c r="BB2" s="1" t="s">
        <v>95</v>
      </c>
      <c r="BC2" s="1" t="s">
        <v>96</v>
      </c>
      <c r="BD2" s="1" t="s">
        <v>97</v>
      </c>
      <c r="BE2" s="1" t="s">
        <v>98</v>
      </c>
      <c r="BF2" s="1" t="s">
        <v>99</v>
      </c>
      <c r="BG2" s="1" t="s">
        <v>100</v>
      </c>
      <c r="BH2" s="1" t="s">
        <v>101</v>
      </c>
      <c r="BI2" s="1" t="s">
        <v>102</v>
      </c>
      <c r="BJ2" s="1" t="s">
        <v>103</v>
      </c>
      <c r="BK2" s="1" t="s">
        <v>104</v>
      </c>
      <c r="BL2" s="1" t="s">
        <v>105</v>
      </c>
      <c r="BM2" s="1" t="s">
        <v>106</v>
      </c>
      <c r="BN2" s="1" t="s">
        <v>107</v>
      </c>
      <c r="BO2" s="1" t="s">
        <v>108</v>
      </c>
      <c r="BP2" s="1" t="s">
        <v>109</v>
      </c>
      <c r="BQ2" s="1" t="s">
        <v>110</v>
      </c>
      <c r="BR2" s="1" t="s">
        <v>111</v>
      </c>
      <c r="BS2" s="1" t="s">
        <v>112</v>
      </c>
      <c r="BT2" s="1" t="s">
        <v>113</v>
      </c>
      <c r="BU2" s="1" t="s">
        <v>114</v>
      </c>
      <c r="BV2" s="1" t="s">
        <v>115</v>
      </c>
      <c r="BW2" s="1" t="s">
        <v>116</v>
      </c>
      <c r="BX2" s="1" t="s">
        <v>117</v>
      </c>
      <c r="BY2" s="1" t="s">
        <v>118</v>
      </c>
      <c r="BZ2" s="1" t="s">
        <v>119</v>
      </c>
      <c r="CA2" s="1" t="s">
        <v>120</v>
      </c>
      <c r="CB2" s="1" t="s">
        <v>121</v>
      </c>
      <c r="CC2" s="1" t="s">
        <v>122</v>
      </c>
      <c r="CD2" t="s">
        <v>123</v>
      </c>
      <c r="CE2" t="s">
        <v>124</v>
      </c>
      <c r="CF2" t="s">
        <v>125</v>
      </c>
      <c r="CG2" t="s">
        <v>126</v>
      </c>
      <c r="CH2" t="s">
        <v>127</v>
      </c>
      <c r="CI2" t="s">
        <v>128</v>
      </c>
      <c r="CJ2" t="s">
        <v>129</v>
      </c>
      <c r="CK2" t="s">
        <v>130</v>
      </c>
      <c r="CL2" t="s">
        <v>131</v>
      </c>
      <c r="CM2" t="s">
        <v>40</v>
      </c>
      <c r="CN2" t="s">
        <v>132</v>
      </c>
    </row>
    <row r="3" spans="1:92" x14ac:dyDescent="0.25">
      <c r="A3">
        <v>1400000</v>
      </c>
      <c r="B3" t="s">
        <v>2</v>
      </c>
      <c r="C3" s="1">
        <v>866.61</v>
      </c>
      <c r="D3" s="1">
        <v>859.19</v>
      </c>
      <c r="E3" s="1">
        <v>117092646.31</v>
      </c>
      <c r="F3" s="1">
        <v>5256</v>
      </c>
      <c r="G3" s="1">
        <v>72223</v>
      </c>
      <c r="H3" s="1">
        <v>115</v>
      </c>
      <c r="I3" s="1">
        <v>12578.1</v>
      </c>
      <c r="J3" s="1">
        <v>119</v>
      </c>
      <c r="K3" s="1">
        <v>4846</v>
      </c>
      <c r="L3" s="1">
        <v>16</v>
      </c>
      <c r="M3" s="1">
        <v>5301760</v>
      </c>
      <c r="N3" s="1">
        <v>2536666</v>
      </c>
      <c r="O3" s="1">
        <v>2765094</v>
      </c>
      <c r="P3" s="1">
        <v>301725</v>
      </c>
      <c r="Q3" s="1">
        <v>154957</v>
      </c>
      <c r="R3" s="1">
        <v>146768</v>
      </c>
      <c r="S3" s="1">
        <v>267137</v>
      </c>
      <c r="T3" s="1">
        <v>136852</v>
      </c>
      <c r="U3" s="1">
        <v>130285</v>
      </c>
      <c r="V3" s="1">
        <v>250730</v>
      </c>
      <c r="W3" s="1">
        <v>128573</v>
      </c>
      <c r="X3" s="1">
        <v>122157</v>
      </c>
      <c r="Y3" s="1">
        <v>285534</v>
      </c>
      <c r="Z3" s="1">
        <v>145973</v>
      </c>
      <c r="AA3" s="1">
        <v>139561</v>
      </c>
      <c r="AB3" s="1">
        <v>346055</v>
      </c>
      <c r="AC3" s="1">
        <v>175899</v>
      </c>
      <c r="AD3" s="1">
        <v>170156</v>
      </c>
      <c r="AE3" s="1">
        <v>426147</v>
      </c>
      <c r="AF3" s="1">
        <v>213129</v>
      </c>
      <c r="AG3" s="1">
        <v>213018</v>
      </c>
      <c r="AH3" s="1">
        <v>453949</v>
      </c>
      <c r="AI3" s="1">
        <v>225289</v>
      </c>
      <c r="AJ3" s="1">
        <v>228660</v>
      </c>
      <c r="AK3" s="1">
        <v>427187</v>
      </c>
      <c r="AL3" s="1">
        <v>212602</v>
      </c>
      <c r="AM3" s="1">
        <v>214585</v>
      </c>
      <c r="AN3" s="1">
        <v>339770</v>
      </c>
      <c r="AO3" s="1">
        <v>170111</v>
      </c>
      <c r="AP3" s="1">
        <v>169659</v>
      </c>
      <c r="AQ3" s="1">
        <v>308521</v>
      </c>
      <c r="AR3" s="1">
        <v>153586</v>
      </c>
      <c r="AS3" s="1">
        <v>154935</v>
      </c>
      <c r="AT3" s="1">
        <v>351359</v>
      </c>
      <c r="AU3" s="1">
        <v>171026</v>
      </c>
      <c r="AV3" s="1">
        <v>180333</v>
      </c>
      <c r="AW3" s="1">
        <v>402910</v>
      </c>
      <c r="AX3" s="1">
        <v>190250</v>
      </c>
      <c r="AY3" s="1">
        <v>212660</v>
      </c>
      <c r="AZ3" s="1">
        <v>343514</v>
      </c>
      <c r="BA3" s="1">
        <v>156620</v>
      </c>
      <c r="BB3" s="1">
        <v>186894</v>
      </c>
      <c r="BC3" s="1">
        <v>227230</v>
      </c>
      <c r="BD3" s="1">
        <v>97822</v>
      </c>
      <c r="BE3" s="1">
        <v>129408</v>
      </c>
      <c r="BF3" s="1">
        <v>569992</v>
      </c>
      <c r="BG3" s="1">
        <v>203977</v>
      </c>
      <c r="BH3" s="1">
        <v>366015</v>
      </c>
      <c r="BI3" s="1">
        <v>177149</v>
      </c>
      <c r="BJ3" s="1">
        <v>70401</v>
      </c>
      <c r="BK3" s="1">
        <v>106748</v>
      </c>
      <c r="BL3" s="1">
        <v>166027</v>
      </c>
      <c r="BM3" s="1">
        <v>61658</v>
      </c>
      <c r="BN3" s="1">
        <v>104369</v>
      </c>
      <c r="BO3" s="1">
        <v>132866</v>
      </c>
      <c r="BP3" s="1">
        <v>45534</v>
      </c>
      <c r="BQ3" s="1">
        <v>87332</v>
      </c>
      <c r="BR3" s="1">
        <v>93950</v>
      </c>
      <c r="BS3" s="1">
        <v>26384</v>
      </c>
      <c r="BT3" s="1">
        <v>67566</v>
      </c>
      <c r="BU3" s="1">
        <v>142841</v>
      </c>
      <c r="BV3" s="1">
        <v>26.99</v>
      </c>
      <c r="BW3" s="1">
        <v>19.53</v>
      </c>
      <c r="BX3" s="1">
        <v>2.65</v>
      </c>
      <c r="BY3" s="1">
        <v>17251</v>
      </c>
      <c r="BZ3" s="1">
        <v>4148</v>
      </c>
      <c r="CA3" s="1">
        <v>7479</v>
      </c>
      <c r="CB3" s="1">
        <v>3291</v>
      </c>
      <c r="CC3" s="1">
        <v>2333</v>
      </c>
      <c r="CD3" s="1">
        <v>10.7</v>
      </c>
      <c r="CE3" s="1">
        <v>11.87</v>
      </c>
      <c r="CF3" s="1">
        <v>5.47</v>
      </c>
      <c r="CG3" s="1">
        <v>312033</v>
      </c>
      <c r="CH3" s="1">
        <v>179577</v>
      </c>
      <c r="CI3" s="1">
        <v>132456</v>
      </c>
      <c r="CJ3" s="1">
        <v>85053</v>
      </c>
      <c r="CK3" s="1">
        <v>54399</v>
      </c>
      <c r="CL3" s="1">
        <v>30654</v>
      </c>
      <c r="CM3" s="1">
        <v>4637.58</v>
      </c>
      <c r="CN3" s="1">
        <v>123.9</v>
      </c>
    </row>
    <row r="4" spans="1:92" x14ac:dyDescent="0.25">
      <c r="A4">
        <v>1401000</v>
      </c>
      <c r="B4" t="s">
        <v>3</v>
      </c>
      <c r="C4" s="1">
        <v>1006.68</v>
      </c>
      <c r="D4" s="1">
        <v>970.87</v>
      </c>
      <c r="E4" s="1">
        <v>5996403.5499999998</v>
      </c>
      <c r="F4" s="1">
        <v>883</v>
      </c>
      <c r="G4" s="1">
        <v>7212</v>
      </c>
      <c r="H4" s="1" t="s">
        <v>133</v>
      </c>
      <c r="I4" s="1" t="s">
        <v>133</v>
      </c>
      <c r="J4" s="1">
        <v>0</v>
      </c>
      <c r="K4" s="1">
        <v>3376</v>
      </c>
      <c r="L4" s="1">
        <v>17.7</v>
      </c>
      <c r="M4" s="1">
        <v>33760</v>
      </c>
      <c r="N4" s="1">
        <v>17057</v>
      </c>
      <c r="O4" s="1">
        <v>16703</v>
      </c>
      <c r="P4" s="1">
        <v>1965</v>
      </c>
      <c r="Q4" s="1">
        <v>1029</v>
      </c>
      <c r="R4" s="1">
        <v>936</v>
      </c>
      <c r="S4" s="1">
        <v>1873</v>
      </c>
      <c r="T4" s="1">
        <v>921</v>
      </c>
      <c r="U4" s="1">
        <v>952</v>
      </c>
      <c r="V4" s="1">
        <v>2025</v>
      </c>
      <c r="W4" s="1">
        <v>1073</v>
      </c>
      <c r="X4" s="1">
        <v>952</v>
      </c>
      <c r="Y4" s="1">
        <v>2382</v>
      </c>
      <c r="Z4" s="1">
        <v>1272</v>
      </c>
      <c r="AA4" s="1">
        <v>1110</v>
      </c>
      <c r="AB4" s="1">
        <v>2618</v>
      </c>
      <c r="AC4" s="1">
        <v>1367</v>
      </c>
      <c r="AD4" s="1">
        <v>1251</v>
      </c>
      <c r="AE4" s="1">
        <v>2734</v>
      </c>
      <c r="AF4" s="1">
        <v>1449</v>
      </c>
      <c r="AG4" s="1">
        <v>1285</v>
      </c>
      <c r="AH4" s="1">
        <v>2596</v>
      </c>
      <c r="AI4" s="1">
        <v>1411</v>
      </c>
      <c r="AJ4" s="1">
        <v>1185</v>
      </c>
      <c r="AK4" s="1">
        <v>2389</v>
      </c>
      <c r="AL4" s="1">
        <v>1247</v>
      </c>
      <c r="AM4" s="1">
        <v>1142</v>
      </c>
      <c r="AN4" s="1">
        <v>2161</v>
      </c>
      <c r="AO4" s="1">
        <v>1108</v>
      </c>
      <c r="AP4" s="1">
        <v>1053</v>
      </c>
      <c r="AQ4" s="1">
        <v>2027</v>
      </c>
      <c r="AR4" s="1">
        <v>1059</v>
      </c>
      <c r="AS4" s="1">
        <v>968</v>
      </c>
      <c r="AT4" s="1">
        <v>2217</v>
      </c>
      <c r="AU4" s="1">
        <v>1174</v>
      </c>
      <c r="AV4" s="1">
        <v>1043</v>
      </c>
      <c r="AW4" s="1">
        <v>2379</v>
      </c>
      <c r="AX4" s="1">
        <v>1276</v>
      </c>
      <c r="AY4" s="1">
        <v>1103</v>
      </c>
      <c r="AZ4" s="1">
        <v>1884</v>
      </c>
      <c r="BA4" s="1">
        <v>887</v>
      </c>
      <c r="BB4" s="1">
        <v>997</v>
      </c>
      <c r="BC4" s="1">
        <v>1264</v>
      </c>
      <c r="BD4" s="1">
        <v>582</v>
      </c>
      <c r="BE4" s="1">
        <v>682</v>
      </c>
      <c r="BF4" s="1">
        <v>3246</v>
      </c>
      <c r="BG4" s="1">
        <v>1202</v>
      </c>
      <c r="BH4" s="1">
        <v>2044</v>
      </c>
      <c r="BI4" s="1">
        <v>964</v>
      </c>
      <c r="BJ4" s="1">
        <v>423</v>
      </c>
      <c r="BK4" s="1">
        <v>541</v>
      </c>
      <c r="BL4" s="1">
        <v>934</v>
      </c>
      <c r="BM4" s="1">
        <v>357</v>
      </c>
      <c r="BN4" s="1">
        <v>577</v>
      </c>
      <c r="BO4" s="1">
        <v>769</v>
      </c>
      <c r="BP4" s="1">
        <v>253</v>
      </c>
      <c r="BQ4" s="1">
        <v>516</v>
      </c>
      <c r="BR4" s="1">
        <v>579</v>
      </c>
      <c r="BS4" s="1">
        <v>169</v>
      </c>
      <c r="BT4" s="1">
        <v>410</v>
      </c>
      <c r="BU4" s="1">
        <v>748</v>
      </c>
      <c r="BV4" s="1">
        <v>22.13</v>
      </c>
      <c r="BW4" s="1">
        <v>15.33</v>
      </c>
      <c r="BX4" s="1">
        <v>1.6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17</v>
      </c>
      <c r="CE4" s="1">
        <v>0.02</v>
      </c>
      <c r="CF4" s="1">
        <v>3.49</v>
      </c>
      <c r="CG4" s="1" t="s">
        <v>133</v>
      </c>
      <c r="CH4" s="1" t="s">
        <v>133</v>
      </c>
      <c r="CI4" s="1" t="s">
        <v>133</v>
      </c>
      <c r="CJ4" s="1" t="s">
        <v>133</v>
      </c>
      <c r="CK4" s="1" t="s">
        <v>133</v>
      </c>
      <c r="CL4" s="1" t="s">
        <v>133</v>
      </c>
      <c r="CM4" s="1">
        <v>3355.88</v>
      </c>
      <c r="CN4" s="1">
        <v>89.6</v>
      </c>
    </row>
    <row r="5" spans="1:92" x14ac:dyDescent="0.25">
      <c r="A5">
        <v>1402000</v>
      </c>
      <c r="B5" t="s">
        <v>4</v>
      </c>
      <c r="C5" s="1">
        <v>929.16</v>
      </c>
      <c r="D5" s="1">
        <v>937.63</v>
      </c>
      <c r="E5" s="1">
        <v>4047298.15</v>
      </c>
      <c r="F5" s="1">
        <v>4872</v>
      </c>
      <c r="G5" s="1">
        <v>25646</v>
      </c>
      <c r="H5" s="1">
        <v>3</v>
      </c>
      <c r="I5" s="1">
        <v>2921.8</v>
      </c>
      <c r="J5" s="1">
        <v>236</v>
      </c>
      <c r="K5" s="1">
        <v>4562</v>
      </c>
      <c r="L5" s="1">
        <v>23.4</v>
      </c>
      <c r="M5" s="1">
        <v>91243</v>
      </c>
      <c r="N5" s="1">
        <v>44824</v>
      </c>
      <c r="O5" s="1">
        <v>46419</v>
      </c>
      <c r="P5" s="1">
        <v>4872</v>
      </c>
      <c r="Q5" s="1">
        <v>2492</v>
      </c>
      <c r="R5" s="1">
        <v>2380</v>
      </c>
      <c r="S5" s="1">
        <v>4260</v>
      </c>
      <c r="T5" s="1">
        <v>2221</v>
      </c>
      <c r="U5" s="1">
        <v>2039</v>
      </c>
      <c r="V5" s="1">
        <v>4763</v>
      </c>
      <c r="W5" s="1">
        <v>2458</v>
      </c>
      <c r="X5" s="1">
        <v>2305</v>
      </c>
      <c r="Y5" s="1">
        <v>5987</v>
      </c>
      <c r="Z5" s="1">
        <v>3132</v>
      </c>
      <c r="AA5" s="1">
        <v>2855</v>
      </c>
      <c r="AB5" s="1">
        <v>6889</v>
      </c>
      <c r="AC5" s="1">
        <v>3521</v>
      </c>
      <c r="AD5" s="1">
        <v>3368</v>
      </c>
      <c r="AE5" s="1">
        <v>7454</v>
      </c>
      <c r="AF5" s="1">
        <v>3999</v>
      </c>
      <c r="AG5" s="1">
        <v>3455</v>
      </c>
      <c r="AH5" s="1">
        <v>6842</v>
      </c>
      <c r="AI5" s="1">
        <v>3612</v>
      </c>
      <c r="AJ5" s="1">
        <v>3230</v>
      </c>
      <c r="AK5" s="1">
        <v>6205</v>
      </c>
      <c r="AL5" s="1">
        <v>3183</v>
      </c>
      <c r="AM5" s="1">
        <v>3022</v>
      </c>
      <c r="AN5" s="1">
        <v>5658</v>
      </c>
      <c r="AO5" s="1">
        <v>2851</v>
      </c>
      <c r="AP5" s="1">
        <v>2807</v>
      </c>
      <c r="AQ5" s="1">
        <v>5988</v>
      </c>
      <c r="AR5" s="1">
        <v>2944</v>
      </c>
      <c r="AS5" s="1">
        <v>3044</v>
      </c>
      <c r="AT5" s="1">
        <v>7064</v>
      </c>
      <c r="AU5" s="1">
        <v>3583</v>
      </c>
      <c r="AV5" s="1">
        <v>3481</v>
      </c>
      <c r="AW5" s="1">
        <v>7467</v>
      </c>
      <c r="AX5" s="1">
        <v>3602</v>
      </c>
      <c r="AY5" s="1">
        <v>3865</v>
      </c>
      <c r="AZ5" s="1">
        <v>5909</v>
      </c>
      <c r="BA5" s="1">
        <v>2795</v>
      </c>
      <c r="BB5" s="1">
        <v>3114</v>
      </c>
      <c r="BC5" s="1">
        <v>3329</v>
      </c>
      <c r="BD5" s="1">
        <v>1475</v>
      </c>
      <c r="BE5" s="1">
        <v>1854</v>
      </c>
      <c r="BF5" s="1">
        <v>8556</v>
      </c>
      <c r="BG5" s="1">
        <v>2956</v>
      </c>
      <c r="BH5" s="1">
        <v>5600</v>
      </c>
      <c r="BI5" s="1">
        <v>2719</v>
      </c>
      <c r="BJ5" s="1">
        <v>1109</v>
      </c>
      <c r="BK5" s="1">
        <v>1610</v>
      </c>
      <c r="BL5" s="1">
        <v>2496</v>
      </c>
      <c r="BM5" s="1">
        <v>901</v>
      </c>
      <c r="BN5" s="1">
        <v>1595</v>
      </c>
      <c r="BO5" s="1">
        <v>1921</v>
      </c>
      <c r="BP5" s="1">
        <v>591</v>
      </c>
      <c r="BQ5" s="1">
        <v>1330</v>
      </c>
      <c r="BR5" s="1">
        <v>1420</v>
      </c>
      <c r="BS5" s="1">
        <v>355</v>
      </c>
      <c r="BT5" s="1">
        <v>1065</v>
      </c>
      <c r="BU5" s="1">
        <v>2531</v>
      </c>
      <c r="BV5" s="1">
        <v>27.72</v>
      </c>
      <c r="BW5" s="1">
        <v>17.190000000000001</v>
      </c>
      <c r="BX5" s="1">
        <v>4.3899999999999997</v>
      </c>
      <c r="BY5" s="1">
        <v>122</v>
      </c>
      <c r="BZ5" s="1">
        <v>32</v>
      </c>
      <c r="CA5" s="1">
        <v>63</v>
      </c>
      <c r="CB5" s="1">
        <v>23</v>
      </c>
      <c r="CC5" s="1">
        <v>4</v>
      </c>
      <c r="CD5" s="1">
        <v>17.3</v>
      </c>
      <c r="CE5" s="1">
        <v>0.13</v>
      </c>
      <c r="CF5" s="1">
        <v>5.15</v>
      </c>
      <c r="CG5" s="1">
        <v>1955</v>
      </c>
      <c r="CH5" s="1">
        <v>1041</v>
      </c>
      <c r="CI5" s="1">
        <v>914</v>
      </c>
      <c r="CJ5" s="1">
        <v>714</v>
      </c>
      <c r="CK5" s="1">
        <v>461</v>
      </c>
      <c r="CL5" s="1">
        <v>253</v>
      </c>
      <c r="CM5" s="1">
        <v>3385.81</v>
      </c>
      <c r="CN5" s="1">
        <v>90.4</v>
      </c>
    </row>
    <row r="6" spans="1:92" x14ac:dyDescent="0.25">
      <c r="A6">
        <v>1403000</v>
      </c>
      <c r="B6" t="s">
        <v>5</v>
      </c>
      <c r="C6" s="1">
        <v>929.12</v>
      </c>
      <c r="D6" s="1">
        <v>889.09</v>
      </c>
      <c r="E6" s="1">
        <v>3796152.58</v>
      </c>
      <c r="F6" s="1">
        <v>1877</v>
      </c>
      <c r="G6" s="1">
        <v>20423</v>
      </c>
      <c r="H6" s="1">
        <v>1</v>
      </c>
      <c r="I6" s="1">
        <v>129</v>
      </c>
      <c r="J6" s="1">
        <v>431</v>
      </c>
      <c r="K6" s="1">
        <v>3745</v>
      </c>
      <c r="L6" s="1">
        <v>16.5</v>
      </c>
      <c r="M6" s="1">
        <v>108592</v>
      </c>
      <c r="N6" s="1">
        <v>53911</v>
      </c>
      <c r="O6" s="1">
        <v>54681</v>
      </c>
      <c r="P6" s="1">
        <v>6570</v>
      </c>
      <c r="Q6" s="1">
        <v>3372</v>
      </c>
      <c r="R6" s="1">
        <v>3198</v>
      </c>
      <c r="S6" s="1">
        <v>6259</v>
      </c>
      <c r="T6" s="1">
        <v>3213</v>
      </c>
      <c r="U6" s="1">
        <v>3046</v>
      </c>
      <c r="V6" s="1">
        <v>6455</v>
      </c>
      <c r="W6" s="1">
        <v>3236</v>
      </c>
      <c r="X6" s="1">
        <v>3219</v>
      </c>
      <c r="Y6" s="1">
        <v>7715</v>
      </c>
      <c r="Z6" s="1">
        <v>3921</v>
      </c>
      <c r="AA6" s="1">
        <v>3794</v>
      </c>
      <c r="AB6" s="1">
        <v>8540</v>
      </c>
      <c r="AC6" s="1">
        <v>4445</v>
      </c>
      <c r="AD6" s="1">
        <v>4095</v>
      </c>
      <c r="AE6" s="1">
        <v>9086</v>
      </c>
      <c r="AF6" s="1">
        <v>4802</v>
      </c>
      <c r="AG6" s="1">
        <v>4284</v>
      </c>
      <c r="AH6" s="1">
        <v>8563</v>
      </c>
      <c r="AI6" s="1">
        <v>4475</v>
      </c>
      <c r="AJ6" s="1">
        <v>4088</v>
      </c>
      <c r="AK6" s="1">
        <v>7772</v>
      </c>
      <c r="AL6" s="1">
        <v>4074</v>
      </c>
      <c r="AM6" s="1">
        <v>3698</v>
      </c>
      <c r="AN6" s="1">
        <v>6716</v>
      </c>
      <c r="AO6" s="1">
        <v>3472</v>
      </c>
      <c r="AP6" s="1">
        <v>3244</v>
      </c>
      <c r="AQ6" s="1">
        <v>6551</v>
      </c>
      <c r="AR6" s="1">
        <v>3343</v>
      </c>
      <c r="AS6" s="1">
        <v>3208</v>
      </c>
      <c r="AT6" s="1">
        <v>7205</v>
      </c>
      <c r="AU6" s="1">
        <v>3759</v>
      </c>
      <c r="AV6" s="1">
        <v>3446</v>
      </c>
      <c r="AW6" s="1">
        <v>7009</v>
      </c>
      <c r="AX6" s="1">
        <v>3542</v>
      </c>
      <c r="AY6" s="1">
        <v>3467</v>
      </c>
      <c r="AZ6" s="1">
        <v>5788</v>
      </c>
      <c r="BA6" s="1">
        <v>2731</v>
      </c>
      <c r="BB6" s="1">
        <v>3057</v>
      </c>
      <c r="BC6" s="1">
        <v>3946</v>
      </c>
      <c r="BD6" s="1">
        <v>1812</v>
      </c>
      <c r="BE6" s="1">
        <v>2134</v>
      </c>
      <c r="BF6" s="1">
        <v>10417</v>
      </c>
      <c r="BG6" s="1">
        <v>3714</v>
      </c>
      <c r="BH6" s="1">
        <v>6703</v>
      </c>
      <c r="BI6" s="1">
        <v>3090</v>
      </c>
      <c r="BJ6" s="1">
        <v>1288</v>
      </c>
      <c r="BK6" s="1">
        <v>1802</v>
      </c>
      <c r="BL6" s="1">
        <v>2926</v>
      </c>
      <c r="BM6" s="1">
        <v>1087</v>
      </c>
      <c r="BN6" s="1">
        <v>1839</v>
      </c>
      <c r="BO6" s="1">
        <v>2523</v>
      </c>
      <c r="BP6" s="1">
        <v>838</v>
      </c>
      <c r="BQ6" s="1">
        <v>1685</v>
      </c>
      <c r="BR6" s="1">
        <v>1878</v>
      </c>
      <c r="BS6" s="1">
        <v>501</v>
      </c>
      <c r="BT6" s="1">
        <v>1377</v>
      </c>
      <c r="BU6" s="1">
        <v>2193</v>
      </c>
      <c r="BV6" s="1">
        <v>20.21</v>
      </c>
      <c r="BW6" s="1">
        <v>10.77</v>
      </c>
      <c r="BX6" s="1">
        <v>1.8</v>
      </c>
      <c r="BY6" s="1">
        <v>8</v>
      </c>
      <c r="BZ6" s="1">
        <v>0</v>
      </c>
      <c r="CA6" s="1">
        <v>5</v>
      </c>
      <c r="CB6" s="1">
        <v>0</v>
      </c>
      <c r="CC6" s="1">
        <v>0</v>
      </c>
      <c r="CD6" s="1">
        <v>14.5</v>
      </c>
      <c r="CE6" s="1">
        <v>0.09</v>
      </c>
      <c r="CF6" s="1">
        <v>3.53</v>
      </c>
      <c r="CG6" s="1">
        <v>191</v>
      </c>
      <c r="CH6" s="1">
        <v>112</v>
      </c>
      <c r="CI6" s="1">
        <v>79</v>
      </c>
      <c r="CJ6" s="1">
        <v>89</v>
      </c>
      <c r="CK6" s="1">
        <v>61</v>
      </c>
      <c r="CL6" s="1">
        <v>28</v>
      </c>
      <c r="CM6" s="1">
        <v>3277.05</v>
      </c>
      <c r="CN6" s="1">
        <v>87.5</v>
      </c>
    </row>
    <row r="7" spans="1:92" x14ac:dyDescent="0.25">
      <c r="A7">
        <v>1404000</v>
      </c>
      <c r="B7" t="s">
        <v>6</v>
      </c>
      <c r="C7" s="1">
        <v>992.63</v>
      </c>
      <c r="D7" s="1">
        <v>1016.06</v>
      </c>
      <c r="E7" s="1">
        <v>1309764.5900000001</v>
      </c>
      <c r="F7" s="1">
        <v>1091</v>
      </c>
      <c r="G7" s="1">
        <v>16504</v>
      </c>
      <c r="H7" s="1" t="s">
        <v>133</v>
      </c>
      <c r="I7" s="1" t="s">
        <v>133</v>
      </c>
      <c r="J7" s="1">
        <v>120</v>
      </c>
      <c r="K7" s="1">
        <v>3108</v>
      </c>
      <c r="L7" s="1">
        <v>17.100000000000001</v>
      </c>
      <c r="M7" s="1">
        <v>46627</v>
      </c>
      <c r="N7" s="1">
        <v>22705</v>
      </c>
      <c r="O7" s="1">
        <v>23922</v>
      </c>
      <c r="P7" s="1">
        <v>2263</v>
      </c>
      <c r="Q7" s="1">
        <v>1161</v>
      </c>
      <c r="R7" s="1">
        <v>1102</v>
      </c>
      <c r="S7" s="1">
        <v>2135</v>
      </c>
      <c r="T7" s="1">
        <v>1098</v>
      </c>
      <c r="U7" s="1">
        <v>1037</v>
      </c>
      <c r="V7" s="1">
        <v>2389</v>
      </c>
      <c r="W7" s="1">
        <v>1253</v>
      </c>
      <c r="X7" s="1">
        <v>1136</v>
      </c>
      <c r="Y7" s="1">
        <v>2945</v>
      </c>
      <c r="Z7" s="1">
        <v>1539</v>
      </c>
      <c r="AA7" s="1">
        <v>1406</v>
      </c>
      <c r="AB7" s="1">
        <v>3357</v>
      </c>
      <c r="AC7" s="1">
        <v>1669</v>
      </c>
      <c r="AD7" s="1">
        <v>1688</v>
      </c>
      <c r="AE7" s="1">
        <v>3492</v>
      </c>
      <c r="AF7" s="1">
        <v>1825</v>
      </c>
      <c r="AG7" s="1">
        <v>1667</v>
      </c>
      <c r="AH7" s="1">
        <v>3547</v>
      </c>
      <c r="AI7" s="1">
        <v>1860</v>
      </c>
      <c r="AJ7" s="1">
        <v>1687</v>
      </c>
      <c r="AK7" s="1">
        <v>3403</v>
      </c>
      <c r="AL7" s="1">
        <v>1768</v>
      </c>
      <c r="AM7" s="1">
        <v>1635</v>
      </c>
      <c r="AN7" s="1">
        <v>3032</v>
      </c>
      <c r="AO7" s="1">
        <v>1540</v>
      </c>
      <c r="AP7" s="1">
        <v>1492</v>
      </c>
      <c r="AQ7" s="1">
        <v>2969</v>
      </c>
      <c r="AR7" s="1">
        <v>1486</v>
      </c>
      <c r="AS7" s="1">
        <v>1483</v>
      </c>
      <c r="AT7" s="1">
        <v>3440</v>
      </c>
      <c r="AU7" s="1">
        <v>1665</v>
      </c>
      <c r="AV7" s="1">
        <v>1775</v>
      </c>
      <c r="AW7" s="1">
        <v>3597</v>
      </c>
      <c r="AX7" s="1">
        <v>1760</v>
      </c>
      <c r="AY7" s="1">
        <v>1837</v>
      </c>
      <c r="AZ7" s="1">
        <v>3133</v>
      </c>
      <c r="BA7" s="1">
        <v>1446</v>
      </c>
      <c r="BB7" s="1">
        <v>1687</v>
      </c>
      <c r="BC7" s="1">
        <v>2140</v>
      </c>
      <c r="BD7" s="1">
        <v>980</v>
      </c>
      <c r="BE7" s="1">
        <v>1160</v>
      </c>
      <c r="BF7" s="1">
        <v>4785</v>
      </c>
      <c r="BG7" s="1">
        <v>1655</v>
      </c>
      <c r="BH7" s="1">
        <v>3130</v>
      </c>
      <c r="BI7" s="1">
        <v>1597</v>
      </c>
      <c r="BJ7" s="1">
        <v>658</v>
      </c>
      <c r="BK7" s="1">
        <v>939</v>
      </c>
      <c r="BL7" s="1">
        <v>1377</v>
      </c>
      <c r="BM7" s="1">
        <v>496</v>
      </c>
      <c r="BN7" s="1">
        <v>881</v>
      </c>
      <c r="BO7" s="1">
        <v>1023</v>
      </c>
      <c r="BP7" s="1">
        <v>324</v>
      </c>
      <c r="BQ7" s="1">
        <v>699</v>
      </c>
      <c r="BR7" s="1">
        <v>788</v>
      </c>
      <c r="BS7" s="1">
        <v>177</v>
      </c>
      <c r="BT7" s="1">
        <v>611</v>
      </c>
      <c r="BU7" s="1">
        <v>695</v>
      </c>
      <c r="BV7" s="1">
        <v>14.87</v>
      </c>
      <c r="BW7" s="1">
        <v>8.3000000000000007</v>
      </c>
      <c r="BX7" s="1">
        <v>0.77</v>
      </c>
      <c r="BY7" s="1">
        <v>35</v>
      </c>
      <c r="BZ7" s="1">
        <v>10</v>
      </c>
      <c r="CA7" s="1">
        <v>17</v>
      </c>
      <c r="CB7" s="1">
        <v>6</v>
      </c>
      <c r="CC7" s="1">
        <v>0</v>
      </c>
      <c r="CD7" s="1">
        <v>23.2</v>
      </c>
      <c r="CE7" s="1">
        <v>7.0000000000000007E-2</v>
      </c>
      <c r="CF7" s="1">
        <v>6.66</v>
      </c>
      <c r="CG7" s="1" t="s">
        <v>133</v>
      </c>
      <c r="CH7" s="1" t="s">
        <v>133</v>
      </c>
      <c r="CI7" s="1" t="s">
        <v>133</v>
      </c>
      <c r="CJ7" s="1" t="s">
        <v>133</v>
      </c>
      <c r="CK7" s="1" t="s">
        <v>133</v>
      </c>
      <c r="CL7" s="1" t="s">
        <v>133</v>
      </c>
      <c r="CM7" s="1">
        <v>2925.45</v>
      </c>
      <c r="CN7" s="1">
        <v>78.099999999999994</v>
      </c>
    </row>
    <row r="8" spans="1:92" x14ac:dyDescent="0.25">
      <c r="A8">
        <v>1405000</v>
      </c>
      <c r="B8" t="s">
        <v>7</v>
      </c>
      <c r="C8" s="1">
        <v>814.44</v>
      </c>
      <c r="D8" s="1">
        <v>811.79</v>
      </c>
      <c r="E8" s="1">
        <v>650951.93999999994</v>
      </c>
      <c r="F8" s="1">
        <v>4385</v>
      </c>
      <c r="G8" s="1">
        <v>31226</v>
      </c>
      <c r="H8" s="1">
        <v>1</v>
      </c>
      <c r="I8" s="1">
        <v>422</v>
      </c>
      <c r="J8" s="1">
        <v>233</v>
      </c>
      <c r="K8" s="1">
        <v>5470</v>
      </c>
      <c r="L8" s="1">
        <v>14.6</v>
      </c>
      <c r="M8" s="1">
        <v>87519</v>
      </c>
      <c r="N8" s="1">
        <v>41844</v>
      </c>
      <c r="O8" s="1">
        <v>45675</v>
      </c>
      <c r="P8" s="1">
        <v>5322</v>
      </c>
      <c r="Q8" s="1">
        <v>2732</v>
      </c>
      <c r="R8" s="1">
        <v>2590</v>
      </c>
      <c r="S8" s="1">
        <v>4915</v>
      </c>
      <c r="T8" s="1">
        <v>2545</v>
      </c>
      <c r="U8" s="1">
        <v>2370</v>
      </c>
      <c r="V8" s="1">
        <v>4533</v>
      </c>
      <c r="W8" s="1">
        <v>2360</v>
      </c>
      <c r="X8" s="1">
        <v>2173</v>
      </c>
      <c r="Y8" s="1">
        <v>4820</v>
      </c>
      <c r="Z8" s="1">
        <v>2445</v>
      </c>
      <c r="AA8" s="1">
        <v>2375</v>
      </c>
      <c r="AB8" s="1">
        <v>5257</v>
      </c>
      <c r="AC8" s="1">
        <v>2731</v>
      </c>
      <c r="AD8" s="1">
        <v>2526</v>
      </c>
      <c r="AE8" s="1">
        <v>6460</v>
      </c>
      <c r="AF8" s="1">
        <v>3180</v>
      </c>
      <c r="AG8" s="1">
        <v>3280</v>
      </c>
      <c r="AH8" s="1">
        <v>7159</v>
      </c>
      <c r="AI8" s="1">
        <v>3414</v>
      </c>
      <c r="AJ8" s="1">
        <v>3745</v>
      </c>
      <c r="AK8" s="1">
        <v>7419</v>
      </c>
      <c r="AL8" s="1">
        <v>3647</v>
      </c>
      <c r="AM8" s="1">
        <v>3772</v>
      </c>
      <c r="AN8" s="1">
        <v>6098</v>
      </c>
      <c r="AO8" s="1">
        <v>3041</v>
      </c>
      <c r="AP8" s="1">
        <v>3057</v>
      </c>
      <c r="AQ8" s="1">
        <v>5346</v>
      </c>
      <c r="AR8" s="1">
        <v>2694</v>
      </c>
      <c r="AS8" s="1">
        <v>2652</v>
      </c>
      <c r="AT8" s="1">
        <v>5809</v>
      </c>
      <c r="AU8" s="1">
        <v>2730</v>
      </c>
      <c r="AV8" s="1">
        <v>3079</v>
      </c>
      <c r="AW8" s="1">
        <v>6804</v>
      </c>
      <c r="AX8" s="1">
        <v>3233</v>
      </c>
      <c r="AY8" s="1">
        <v>3571</v>
      </c>
      <c r="AZ8" s="1">
        <v>5502</v>
      </c>
      <c r="BA8" s="1">
        <v>2548</v>
      </c>
      <c r="BB8" s="1">
        <v>2954</v>
      </c>
      <c r="BC8" s="1">
        <v>3678</v>
      </c>
      <c r="BD8" s="1">
        <v>1596</v>
      </c>
      <c r="BE8" s="1">
        <v>2082</v>
      </c>
      <c r="BF8" s="1">
        <v>8397</v>
      </c>
      <c r="BG8" s="1">
        <v>2948</v>
      </c>
      <c r="BH8" s="1">
        <v>5449</v>
      </c>
      <c r="BI8" s="1">
        <v>2690</v>
      </c>
      <c r="BJ8" s="1">
        <v>1064</v>
      </c>
      <c r="BK8" s="1">
        <v>1626</v>
      </c>
      <c r="BL8" s="1">
        <v>2447</v>
      </c>
      <c r="BM8" s="1">
        <v>930</v>
      </c>
      <c r="BN8" s="1">
        <v>1517</v>
      </c>
      <c r="BO8" s="1">
        <v>1825</v>
      </c>
      <c r="BP8" s="1">
        <v>600</v>
      </c>
      <c r="BQ8" s="1">
        <v>1225</v>
      </c>
      <c r="BR8" s="1">
        <v>1435</v>
      </c>
      <c r="BS8" s="1">
        <v>354</v>
      </c>
      <c r="BT8" s="1">
        <v>1081</v>
      </c>
      <c r="BU8" s="1">
        <v>2055</v>
      </c>
      <c r="BV8" s="1">
        <v>23.64</v>
      </c>
      <c r="BW8" s="1">
        <v>17.649999999999999</v>
      </c>
      <c r="BX8" s="1">
        <v>1.74</v>
      </c>
      <c r="BY8" s="1" t="s">
        <v>133</v>
      </c>
      <c r="BZ8" s="1" t="s">
        <v>133</v>
      </c>
      <c r="CA8" s="1" t="s">
        <v>133</v>
      </c>
      <c r="CB8" s="1" t="s">
        <v>133</v>
      </c>
      <c r="CC8" s="1" t="s">
        <v>133</v>
      </c>
      <c r="CD8" s="1">
        <v>7.8</v>
      </c>
      <c r="CE8" s="1">
        <v>0.13</v>
      </c>
      <c r="CF8" s="1">
        <v>4.3</v>
      </c>
      <c r="CG8" s="1">
        <v>978</v>
      </c>
      <c r="CH8" s="1">
        <v>671</v>
      </c>
      <c r="CI8" s="1">
        <v>307</v>
      </c>
      <c r="CJ8" s="1">
        <v>427</v>
      </c>
      <c r="CK8" s="1">
        <v>247</v>
      </c>
      <c r="CL8" s="1">
        <v>180</v>
      </c>
      <c r="CM8" s="1">
        <v>3854.84</v>
      </c>
      <c r="CN8" s="1">
        <v>103</v>
      </c>
    </row>
    <row r="9" spans="1:92" x14ac:dyDescent="0.25">
      <c r="A9">
        <v>1406000</v>
      </c>
      <c r="B9" t="s">
        <v>8</v>
      </c>
      <c r="C9" s="1">
        <v>896.62</v>
      </c>
      <c r="D9" s="1">
        <v>880.54</v>
      </c>
      <c r="E9" s="1">
        <v>4136572.87</v>
      </c>
      <c r="F9" s="1">
        <v>3006</v>
      </c>
      <c r="G9" s="1">
        <v>46127</v>
      </c>
      <c r="H9" s="1">
        <v>2</v>
      </c>
      <c r="I9" s="1">
        <v>153.19999999999999</v>
      </c>
      <c r="J9" s="1">
        <v>363</v>
      </c>
      <c r="K9" s="1">
        <v>4932</v>
      </c>
      <c r="L9" s="1">
        <v>15.9</v>
      </c>
      <c r="M9" s="1">
        <v>98643</v>
      </c>
      <c r="N9" s="1">
        <v>48628</v>
      </c>
      <c r="O9" s="1">
        <v>50015</v>
      </c>
      <c r="P9" s="1">
        <v>5415</v>
      </c>
      <c r="Q9" s="1">
        <v>2788</v>
      </c>
      <c r="R9" s="1">
        <v>2627</v>
      </c>
      <c r="S9" s="1">
        <v>5195</v>
      </c>
      <c r="T9" s="1">
        <v>2684</v>
      </c>
      <c r="U9" s="1">
        <v>2511</v>
      </c>
      <c r="V9" s="1">
        <v>4939</v>
      </c>
      <c r="W9" s="1">
        <v>2594</v>
      </c>
      <c r="X9" s="1">
        <v>2345</v>
      </c>
      <c r="Y9" s="1">
        <v>5995</v>
      </c>
      <c r="Z9" s="1">
        <v>3132</v>
      </c>
      <c r="AA9" s="1">
        <v>2863</v>
      </c>
      <c r="AB9" s="1">
        <v>6568</v>
      </c>
      <c r="AC9" s="1">
        <v>3351</v>
      </c>
      <c r="AD9" s="1">
        <v>3217</v>
      </c>
      <c r="AE9" s="1">
        <v>7443</v>
      </c>
      <c r="AF9" s="1">
        <v>3831</v>
      </c>
      <c r="AG9" s="1">
        <v>3612</v>
      </c>
      <c r="AH9" s="1">
        <v>8043</v>
      </c>
      <c r="AI9" s="1">
        <v>4088</v>
      </c>
      <c r="AJ9" s="1">
        <v>3955</v>
      </c>
      <c r="AK9" s="1">
        <v>7583</v>
      </c>
      <c r="AL9" s="1">
        <v>3994</v>
      </c>
      <c r="AM9" s="1">
        <v>3589</v>
      </c>
      <c r="AN9" s="1">
        <v>6281</v>
      </c>
      <c r="AO9" s="1">
        <v>3250</v>
      </c>
      <c r="AP9" s="1">
        <v>3031</v>
      </c>
      <c r="AQ9" s="1">
        <v>5965</v>
      </c>
      <c r="AR9" s="1">
        <v>3000</v>
      </c>
      <c r="AS9" s="1">
        <v>2965</v>
      </c>
      <c r="AT9" s="1">
        <v>7007</v>
      </c>
      <c r="AU9" s="1">
        <v>3510</v>
      </c>
      <c r="AV9" s="1">
        <v>3497</v>
      </c>
      <c r="AW9" s="1">
        <v>7701</v>
      </c>
      <c r="AX9" s="1">
        <v>3851</v>
      </c>
      <c r="AY9" s="1">
        <v>3850</v>
      </c>
      <c r="AZ9" s="1">
        <v>6259</v>
      </c>
      <c r="BA9" s="1">
        <v>3049</v>
      </c>
      <c r="BB9" s="1">
        <v>3210</v>
      </c>
      <c r="BC9" s="1">
        <v>4119</v>
      </c>
      <c r="BD9" s="1">
        <v>1829</v>
      </c>
      <c r="BE9" s="1">
        <v>2290</v>
      </c>
      <c r="BF9" s="1">
        <v>10130</v>
      </c>
      <c r="BG9" s="1">
        <v>3677</v>
      </c>
      <c r="BH9" s="1">
        <v>6453</v>
      </c>
      <c r="BI9" s="1">
        <v>3103</v>
      </c>
      <c r="BJ9" s="1">
        <v>1277</v>
      </c>
      <c r="BK9" s="1">
        <v>1826</v>
      </c>
      <c r="BL9" s="1">
        <v>2990</v>
      </c>
      <c r="BM9" s="1">
        <v>1158</v>
      </c>
      <c r="BN9" s="1">
        <v>1832</v>
      </c>
      <c r="BO9" s="1">
        <v>2326</v>
      </c>
      <c r="BP9" s="1">
        <v>795</v>
      </c>
      <c r="BQ9" s="1">
        <v>1531</v>
      </c>
      <c r="BR9" s="1">
        <v>1711</v>
      </c>
      <c r="BS9" s="1">
        <v>447</v>
      </c>
      <c r="BT9" s="1">
        <v>1264</v>
      </c>
      <c r="BU9" s="1">
        <v>2800</v>
      </c>
      <c r="BV9" s="1">
        <v>28.42</v>
      </c>
      <c r="BW9" s="1">
        <v>20.64</v>
      </c>
      <c r="BX9" s="1">
        <v>1.59</v>
      </c>
      <c r="BY9" s="1" t="s">
        <v>133</v>
      </c>
      <c r="BZ9" s="1" t="s">
        <v>133</v>
      </c>
      <c r="CA9" s="1" t="s">
        <v>133</v>
      </c>
      <c r="CB9" s="1" t="s">
        <v>133</v>
      </c>
      <c r="CC9" s="1" t="s">
        <v>133</v>
      </c>
      <c r="CD9" s="1">
        <v>8.6</v>
      </c>
      <c r="CE9" s="1">
        <v>0.1</v>
      </c>
      <c r="CF9" s="1">
        <v>4.29</v>
      </c>
      <c r="CG9" s="1">
        <v>60</v>
      </c>
      <c r="CH9" s="1">
        <v>1</v>
      </c>
      <c r="CI9" s="1">
        <v>59</v>
      </c>
      <c r="CJ9" s="1">
        <v>20</v>
      </c>
      <c r="CK9" s="1">
        <v>6</v>
      </c>
      <c r="CL9" s="1">
        <v>14</v>
      </c>
      <c r="CM9" s="1">
        <v>3589.76</v>
      </c>
      <c r="CN9" s="1">
        <v>95.9</v>
      </c>
    </row>
    <row r="10" spans="1:92" x14ac:dyDescent="0.25">
      <c r="A10">
        <v>1407000</v>
      </c>
      <c r="B10" t="s">
        <v>9</v>
      </c>
      <c r="C10" s="1">
        <v>1047.6099999999999</v>
      </c>
      <c r="D10" s="1">
        <v>930.29</v>
      </c>
      <c r="E10" s="1">
        <v>3461797.37</v>
      </c>
      <c r="F10" s="1">
        <v>3985</v>
      </c>
      <c r="G10" s="1">
        <v>78075</v>
      </c>
      <c r="H10" s="1">
        <v>2</v>
      </c>
      <c r="I10" s="1">
        <v>1486.5</v>
      </c>
      <c r="J10" s="1">
        <v>0</v>
      </c>
      <c r="K10" s="1">
        <v>3278</v>
      </c>
      <c r="L10" s="1">
        <v>14.8</v>
      </c>
      <c r="M10" s="1">
        <v>62275</v>
      </c>
      <c r="N10" s="1">
        <v>30945</v>
      </c>
      <c r="O10" s="1">
        <v>31330</v>
      </c>
      <c r="P10" s="1">
        <v>3138</v>
      </c>
      <c r="Q10" s="1">
        <v>1602</v>
      </c>
      <c r="R10" s="1">
        <v>1536</v>
      </c>
      <c r="S10" s="1">
        <v>2871</v>
      </c>
      <c r="T10" s="1">
        <v>1476</v>
      </c>
      <c r="U10" s="1">
        <v>1395</v>
      </c>
      <c r="V10" s="1">
        <v>3229</v>
      </c>
      <c r="W10" s="1">
        <v>1660</v>
      </c>
      <c r="X10" s="1">
        <v>1569</v>
      </c>
      <c r="Y10" s="1">
        <v>4047</v>
      </c>
      <c r="Z10" s="1">
        <v>2108</v>
      </c>
      <c r="AA10" s="1">
        <v>1939</v>
      </c>
      <c r="AB10" s="1">
        <v>4680</v>
      </c>
      <c r="AC10" s="1">
        <v>2424</v>
      </c>
      <c r="AD10" s="1">
        <v>2256</v>
      </c>
      <c r="AE10" s="1">
        <v>4955</v>
      </c>
      <c r="AF10" s="1">
        <v>2643</v>
      </c>
      <c r="AG10" s="1">
        <v>2312</v>
      </c>
      <c r="AH10" s="1">
        <v>4762</v>
      </c>
      <c r="AI10" s="1">
        <v>2581</v>
      </c>
      <c r="AJ10" s="1">
        <v>2181</v>
      </c>
      <c r="AK10" s="1">
        <v>4377</v>
      </c>
      <c r="AL10" s="1">
        <v>2293</v>
      </c>
      <c r="AM10" s="1">
        <v>2084</v>
      </c>
      <c r="AN10" s="1">
        <v>3806</v>
      </c>
      <c r="AO10" s="1">
        <v>2002</v>
      </c>
      <c r="AP10" s="1">
        <v>1804</v>
      </c>
      <c r="AQ10" s="1">
        <v>3589</v>
      </c>
      <c r="AR10" s="1">
        <v>1821</v>
      </c>
      <c r="AS10" s="1">
        <v>1768</v>
      </c>
      <c r="AT10" s="1">
        <v>4526</v>
      </c>
      <c r="AU10" s="1">
        <v>2302</v>
      </c>
      <c r="AV10" s="1">
        <v>2224</v>
      </c>
      <c r="AW10" s="1">
        <v>5247</v>
      </c>
      <c r="AX10" s="1">
        <v>2568</v>
      </c>
      <c r="AY10" s="1">
        <v>2679</v>
      </c>
      <c r="AZ10" s="1">
        <v>4334</v>
      </c>
      <c r="BA10" s="1">
        <v>2101</v>
      </c>
      <c r="BB10" s="1">
        <v>2233</v>
      </c>
      <c r="BC10" s="1">
        <v>2484</v>
      </c>
      <c r="BD10" s="1">
        <v>1182</v>
      </c>
      <c r="BE10" s="1">
        <v>1302</v>
      </c>
      <c r="BF10" s="1">
        <v>6230</v>
      </c>
      <c r="BG10" s="1">
        <v>2182</v>
      </c>
      <c r="BH10" s="1">
        <v>4048</v>
      </c>
      <c r="BI10" s="1">
        <v>1759</v>
      </c>
      <c r="BJ10" s="1">
        <v>726</v>
      </c>
      <c r="BK10" s="1">
        <v>1033</v>
      </c>
      <c r="BL10" s="1">
        <v>1726</v>
      </c>
      <c r="BM10" s="1">
        <v>644</v>
      </c>
      <c r="BN10" s="1">
        <v>1082</v>
      </c>
      <c r="BO10" s="1">
        <v>1490</v>
      </c>
      <c r="BP10" s="1">
        <v>475</v>
      </c>
      <c r="BQ10" s="1">
        <v>1015</v>
      </c>
      <c r="BR10" s="1">
        <v>1255</v>
      </c>
      <c r="BS10" s="1">
        <v>337</v>
      </c>
      <c r="BT10" s="1">
        <v>918</v>
      </c>
      <c r="BU10" s="1">
        <v>1707</v>
      </c>
      <c r="BV10" s="1">
        <v>27.37</v>
      </c>
      <c r="BW10" s="1">
        <v>16.309999999999999</v>
      </c>
      <c r="BX10" s="1">
        <v>0.45</v>
      </c>
      <c r="BY10" s="1">
        <v>127</v>
      </c>
      <c r="BZ10" s="1">
        <v>29</v>
      </c>
      <c r="CA10" s="1">
        <v>83</v>
      </c>
      <c r="CB10" s="1">
        <v>10</v>
      </c>
      <c r="CC10" s="1">
        <v>5</v>
      </c>
      <c r="CD10" s="1">
        <v>19.100000000000001</v>
      </c>
      <c r="CE10" s="1">
        <v>0.08</v>
      </c>
      <c r="CF10" s="1">
        <v>5.25</v>
      </c>
      <c r="CG10" s="1" t="s">
        <v>133</v>
      </c>
      <c r="CH10" s="1" t="s">
        <v>133</v>
      </c>
      <c r="CI10" s="1" t="s">
        <v>133</v>
      </c>
      <c r="CJ10" s="1" t="s">
        <v>133</v>
      </c>
      <c r="CK10" s="1" t="s">
        <v>133</v>
      </c>
      <c r="CL10" s="1" t="s">
        <v>133</v>
      </c>
      <c r="CM10" s="1">
        <v>4239.66</v>
      </c>
      <c r="CN10" s="1">
        <v>113.2</v>
      </c>
    </row>
    <row r="11" spans="1:92" x14ac:dyDescent="0.25">
      <c r="A11">
        <v>1408000</v>
      </c>
      <c r="B11" t="s">
        <v>10</v>
      </c>
      <c r="C11" s="1">
        <v>734.25</v>
      </c>
      <c r="D11" s="1">
        <v>731.96</v>
      </c>
      <c r="E11" s="1">
        <v>2063938.5</v>
      </c>
      <c r="F11" s="1">
        <v>2995</v>
      </c>
      <c r="G11" s="1">
        <v>30347</v>
      </c>
      <c r="H11" s="1">
        <v>1</v>
      </c>
      <c r="I11" s="1">
        <v>655.7</v>
      </c>
      <c r="J11" s="1">
        <v>2198</v>
      </c>
      <c r="K11" s="1">
        <v>6464</v>
      </c>
      <c r="L11" s="1">
        <v>20.8</v>
      </c>
      <c r="M11" s="1">
        <v>109889</v>
      </c>
      <c r="N11" s="1">
        <v>53103</v>
      </c>
      <c r="O11" s="1">
        <v>56786</v>
      </c>
      <c r="P11" s="1">
        <v>7194</v>
      </c>
      <c r="Q11" s="1">
        <v>3731</v>
      </c>
      <c r="R11" s="1">
        <v>3463</v>
      </c>
      <c r="S11" s="1">
        <v>6569</v>
      </c>
      <c r="T11" s="1">
        <v>3426</v>
      </c>
      <c r="U11" s="1">
        <v>3143</v>
      </c>
      <c r="V11" s="1">
        <v>5725</v>
      </c>
      <c r="W11" s="1">
        <v>2954</v>
      </c>
      <c r="X11" s="1">
        <v>2771</v>
      </c>
      <c r="Y11" s="1">
        <v>5724</v>
      </c>
      <c r="Z11" s="1">
        <v>2947</v>
      </c>
      <c r="AA11" s="1">
        <v>2777</v>
      </c>
      <c r="AB11" s="1">
        <v>6170</v>
      </c>
      <c r="AC11" s="1">
        <v>3156</v>
      </c>
      <c r="AD11" s="1">
        <v>3014</v>
      </c>
      <c r="AE11" s="1">
        <v>8336</v>
      </c>
      <c r="AF11" s="1">
        <v>4194</v>
      </c>
      <c r="AG11" s="1">
        <v>4142</v>
      </c>
      <c r="AH11" s="1">
        <v>10556</v>
      </c>
      <c r="AI11" s="1">
        <v>5070</v>
      </c>
      <c r="AJ11" s="1">
        <v>5486</v>
      </c>
      <c r="AK11" s="1">
        <v>10404</v>
      </c>
      <c r="AL11" s="1">
        <v>5149</v>
      </c>
      <c r="AM11" s="1">
        <v>5255</v>
      </c>
      <c r="AN11" s="1">
        <v>7422</v>
      </c>
      <c r="AO11" s="1">
        <v>3721</v>
      </c>
      <c r="AP11" s="1">
        <v>3701</v>
      </c>
      <c r="AQ11" s="1">
        <v>6265</v>
      </c>
      <c r="AR11" s="1">
        <v>3172</v>
      </c>
      <c r="AS11" s="1">
        <v>3093</v>
      </c>
      <c r="AT11" s="1">
        <v>6547</v>
      </c>
      <c r="AU11" s="1">
        <v>3115</v>
      </c>
      <c r="AV11" s="1">
        <v>3432</v>
      </c>
      <c r="AW11" s="1">
        <v>8482</v>
      </c>
      <c r="AX11" s="1">
        <v>3866</v>
      </c>
      <c r="AY11" s="1">
        <v>4616</v>
      </c>
      <c r="AZ11" s="1">
        <v>7625</v>
      </c>
      <c r="BA11" s="1">
        <v>3492</v>
      </c>
      <c r="BB11" s="1">
        <v>4133</v>
      </c>
      <c r="BC11" s="1">
        <v>4426</v>
      </c>
      <c r="BD11" s="1">
        <v>2026</v>
      </c>
      <c r="BE11" s="1">
        <v>2400</v>
      </c>
      <c r="BF11" s="1">
        <v>8444</v>
      </c>
      <c r="BG11" s="1">
        <v>3084</v>
      </c>
      <c r="BH11" s="1">
        <v>5360</v>
      </c>
      <c r="BI11" s="1">
        <v>2982</v>
      </c>
      <c r="BJ11" s="1">
        <v>1219</v>
      </c>
      <c r="BK11" s="1">
        <v>1763</v>
      </c>
      <c r="BL11" s="1">
        <v>2435</v>
      </c>
      <c r="BM11" s="1">
        <v>954</v>
      </c>
      <c r="BN11" s="1">
        <v>1481</v>
      </c>
      <c r="BO11" s="1">
        <v>1815</v>
      </c>
      <c r="BP11" s="1">
        <v>593</v>
      </c>
      <c r="BQ11" s="1">
        <v>1222</v>
      </c>
      <c r="BR11" s="1">
        <v>1212</v>
      </c>
      <c r="BS11" s="1">
        <v>318</v>
      </c>
      <c r="BT11" s="1">
        <v>894</v>
      </c>
      <c r="BU11" s="1">
        <v>2938</v>
      </c>
      <c r="BV11" s="1">
        <v>26.87</v>
      </c>
      <c r="BW11" s="1">
        <v>18.010000000000002</v>
      </c>
      <c r="BX11" s="1">
        <v>2.19</v>
      </c>
      <c r="BY11" s="1">
        <v>247</v>
      </c>
      <c r="BZ11" s="1">
        <v>55</v>
      </c>
      <c r="CA11" s="1">
        <v>133</v>
      </c>
      <c r="CB11" s="1">
        <v>50</v>
      </c>
      <c r="CC11" s="1">
        <v>9</v>
      </c>
      <c r="CD11" s="1">
        <v>14.7</v>
      </c>
      <c r="CE11" s="1">
        <v>0.09</v>
      </c>
      <c r="CF11" s="1">
        <v>3.34</v>
      </c>
      <c r="CG11" s="1" t="s">
        <v>133</v>
      </c>
      <c r="CH11" s="1" t="s">
        <v>133</v>
      </c>
      <c r="CI11" s="1" t="s">
        <v>133</v>
      </c>
      <c r="CJ11" s="1" t="s">
        <v>133</v>
      </c>
      <c r="CK11" s="1" t="s">
        <v>133</v>
      </c>
      <c r="CL11" s="1" t="s">
        <v>133</v>
      </c>
      <c r="CM11" s="1">
        <v>3600.74</v>
      </c>
      <c r="CN11" s="1">
        <v>96.2</v>
      </c>
    </row>
    <row r="12" spans="1:92" x14ac:dyDescent="0.25">
      <c r="A12">
        <v>1409000</v>
      </c>
      <c r="B12" t="s">
        <v>11</v>
      </c>
      <c r="C12" s="1">
        <v>1289.51</v>
      </c>
      <c r="D12" s="1">
        <v>1215.9000000000001</v>
      </c>
      <c r="E12" s="1">
        <v>2599095.1800000002</v>
      </c>
      <c r="F12" s="1">
        <v>411</v>
      </c>
      <c r="G12" s="1">
        <v>6576</v>
      </c>
      <c r="H12" s="1" t="s">
        <v>133</v>
      </c>
      <c r="I12" s="1" t="s">
        <v>133</v>
      </c>
      <c r="J12" s="1">
        <v>0</v>
      </c>
      <c r="K12" s="1">
        <v>2991</v>
      </c>
      <c r="L12" s="1">
        <v>24.5</v>
      </c>
      <c r="M12" s="1">
        <v>35892</v>
      </c>
      <c r="N12" s="1">
        <v>17792</v>
      </c>
      <c r="O12" s="1">
        <v>18100</v>
      </c>
      <c r="P12" s="1">
        <v>1727</v>
      </c>
      <c r="Q12" s="1">
        <v>863</v>
      </c>
      <c r="R12" s="1">
        <v>864</v>
      </c>
      <c r="S12" s="1">
        <v>1575</v>
      </c>
      <c r="T12" s="1">
        <v>785</v>
      </c>
      <c r="U12" s="1">
        <v>790</v>
      </c>
      <c r="V12" s="1">
        <v>1679</v>
      </c>
      <c r="W12" s="1">
        <v>870</v>
      </c>
      <c r="X12" s="1">
        <v>809</v>
      </c>
      <c r="Y12" s="1">
        <v>2201</v>
      </c>
      <c r="Z12" s="1">
        <v>1144</v>
      </c>
      <c r="AA12" s="1">
        <v>1057</v>
      </c>
      <c r="AB12" s="1">
        <v>2683</v>
      </c>
      <c r="AC12" s="1">
        <v>1433</v>
      </c>
      <c r="AD12" s="1">
        <v>1250</v>
      </c>
      <c r="AE12" s="1">
        <v>2751</v>
      </c>
      <c r="AF12" s="1">
        <v>1467</v>
      </c>
      <c r="AG12" s="1">
        <v>1284</v>
      </c>
      <c r="AH12" s="1">
        <v>2604</v>
      </c>
      <c r="AI12" s="1">
        <v>1438</v>
      </c>
      <c r="AJ12" s="1">
        <v>1166</v>
      </c>
      <c r="AK12" s="1">
        <v>2277</v>
      </c>
      <c r="AL12" s="1">
        <v>1198</v>
      </c>
      <c r="AM12" s="1">
        <v>1079</v>
      </c>
      <c r="AN12" s="1">
        <v>2198</v>
      </c>
      <c r="AO12" s="1">
        <v>1128</v>
      </c>
      <c r="AP12" s="1">
        <v>1070</v>
      </c>
      <c r="AQ12" s="1">
        <v>2265</v>
      </c>
      <c r="AR12" s="1">
        <v>1182</v>
      </c>
      <c r="AS12" s="1">
        <v>1083</v>
      </c>
      <c r="AT12" s="1">
        <v>2667</v>
      </c>
      <c r="AU12" s="1">
        <v>1408</v>
      </c>
      <c r="AV12" s="1">
        <v>1259</v>
      </c>
      <c r="AW12" s="1">
        <v>2766</v>
      </c>
      <c r="AX12" s="1">
        <v>1410</v>
      </c>
      <c r="AY12" s="1">
        <v>1356</v>
      </c>
      <c r="AZ12" s="1">
        <v>2439</v>
      </c>
      <c r="BA12" s="1">
        <v>1167</v>
      </c>
      <c r="BB12" s="1">
        <v>1272</v>
      </c>
      <c r="BC12" s="1">
        <v>1577</v>
      </c>
      <c r="BD12" s="1">
        <v>761</v>
      </c>
      <c r="BE12" s="1">
        <v>816</v>
      </c>
      <c r="BF12" s="1">
        <v>4483</v>
      </c>
      <c r="BG12" s="1">
        <v>1538</v>
      </c>
      <c r="BH12" s="1">
        <v>2945</v>
      </c>
      <c r="BI12" s="1">
        <v>1288</v>
      </c>
      <c r="BJ12" s="1">
        <v>505</v>
      </c>
      <c r="BK12" s="1">
        <v>783</v>
      </c>
      <c r="BL12" s="1">
        <v>1095</v>
      </c>
      <c r="BM12" s="1">
        <v>425</v>
      </c>
      <c r="BN12" s="1">
        <v>670</v>
      </c>
      <c r="BO12" s="1">
        <v>1195</v>
      </c>
      <c r="BP12" s="1">
        <v>373</v>
      </c>
      <c r="BQ12" s="1">
        <v>822</v>
      </c>
      <c r="BR12" s="1">
        <v>905</v>
      </c>
      <c r="BS12" s="1">
        <v>235</v>
      </c>
      <c r="BT12" s="1">
        <v>670</v>
      </c>
      <c r="BU12" s="1">
        <v>734</v>
      </c>
      <c r="BV12" s="1">
        <v>20.32</v>
      </c>
      <c r="BW12" s="1">
        <v>8.7200000000000006</v>
      </c>
      <c r="BX12" s="1">
        <v>1.44</v>
      </c>
      <c r="BY12" s="1" t="s">
        <v>133</v>
      </c>
      <c r="BZ12" s="1" t="s">
        <v>133</v>
      </c>
      <c r="CA12" s="1" t="s">
        <v>133</v>
      </c>
      <c r="CB12" s="1" t="s">
        <v>133</v>
      </c>
      <c r="CC12" s="1" t="s">
        <v>133</v>
      </c>
      <c r="CD12" s="1">
        <v>17</v>
      </c>
      <c r="CE12" s="1">
        <v>0.01</v>
      </c>
      <c r="CF12" s="1">
        <v>2.27</v>
      </c>
      <c r="CG12" s="1" t="s">
        <v>133</v>
      </c>
      <c r="CH12" s="1" t="s">
        <v>133</v>
      </c>
      <c r="CI12" s="1" t="s">
        <v>133</v>
      </c>
      <c r="CJ12" s="1" t="s">
        <v>133</v>
      </c>
      <c r="CK12" s="1" t="s">
        <v>133</v>
      </c>
      <c r="CL12" s="1" t="s">
        <v>133</v>
      </c>
      <c r="CM12" s="1">
        <v>3098.37</v>
      </c>
      <c r="CN12" s="1">
        <v>82.7</v>
      </c>
    </row>
    <row r="13" spans="1:92" x14ac:dyDescent="0.25">
      <c r="A13">
        <v>1410000</v>
      </c>
      <c r="B13" t="s">
        <v>12</v>
      </c>
      <c r="C13" s="1">
        <v>1064.74</v>
      </c>
      <c r="D13" s="1">
        <v>1062.77</v>
      </c>
      <c r="E13" s="1">
        <v>924364.33</v>
      </c>
      <c r="F13" s="1">
        <v>1104</v>
      </c>
      <c r="G13" s="1">
        <v>9256</v>
      </c>
      <c r="H13" s="1" t="s">
        <v>133</v>
      </c>
      <c r="I13" s="1" t="s">
        <v>133</v>
      </c>
      <c r="J13" s="1">
        <v>126</v>
      </c>
      <c r="K13" s="1">
        <v>2485</v>
      </c>
      <c r="L13" s="1">
        <v>33.799999999999997</v>
      </c>
      <c r="M13" s="1">
        <v>32308</v>
      </c>
      <c r="N13" s="1">
        <v>16115</v>
      </c>
      <c r="O13" s="1">
        <v>16193</v>
      </c>
      <c r="P13" s="1">
        <v>1701</v>
      </c>
      <c r="Q13" s="1">
        <v>867</v>
      </c>
      <c r="R13" s="1">
        <v>834</v>
      </c>
      <c r="S13" s="1">
        <v>1517</v>
      </c>
      <c r="T13" s="1">
        <v>762</v>
      </c>
      <c r="U13" s="1">
        <v>755</v>
      </c>
      <c r="V13" s="1">
        <v>1734</v>
      </c>
      <c r="W13" s="1">
        <v>873</v>
      </c>
      <c r="X13" s="1">
        <v>861</v>
      </c>
      <c r="Y13" s="1">
        <v>2143</v>
      </c>
      <c r="Z13" s="1">
        <v>1091</v>
      </c>
      <c r="AA13" s="1">
        <v>1052</v>
      </c>
      <c r="AB13" s="1">
        <v>2561</v>
      </c>
      <c r="AC13" s="1">
        <v>1362</v>
      </c>
      <c r="AD13" s="1">
        <v>1199</v>
      </c>
      <c r="AE13" s="1">
        <v>2598</v>
      </c>
      <c r="AF13" s="1">
        <v>1392</v>
      </c>
      <c r="AG13" s="1">
        <v>1206</v>
      </c>
      <c r="AH13" s="1">
        <v>2303</v>
      </c>
      <c r="AI13" s="1">
        <v>1249</v>
      </c>
      <c r="AJ13" s="1">
        <v>1054</v>
      </c>
      <c r="AK13" s="1">
        <v>2034</v>
      </c>
      <c r="AL13" s="1">
        <v>1105</v>
      </c>
      <c r="AM13" s="1">
        <v>929</v>
      </c>
      <c r="AN13" s="1">
        <v>1845</v>
      </c>
      <c r="AO13" s="1">
        <v>957</v>
      </c>
      <c r="AP13" s="1">
        <v>888</v>
      </c>
      <c r="AQ13" s="1">
        <v>2035</v>
      </c>
      <c r="AR13" s="1">
        <v>1069</v>
      </c>
      <c r="AS13" s="1">
        <v>966</v>
      </c>
      <c r="AT13" s="1">
        <v>2271</v>
      </c>
      <c r="AU13" s="1">
        <v>1194</v>
      </c>
      <c r="AV13" s="1">
        <v>1077</v>
      </c>
      <c r="AW13" s="1">
        <v>2274</v>
      </c>
      <c r="AX13" s="1">
        <v>1162</v>
      </c>
      <c r="AY13" s="1">
        <v>1112</v>
      </c>
      <c r="AZ13" s="1">
        <v>2011</v>
      </c>
      <c r="BA13" s="1">
        <v>982</v>
      </c>
      <c r="BB13" s="1">
        <v>1029</v>
      </c>
      <c r="BC13" s="1">
        <v>1361</v>
      </c>
      <c r="BD13" s="1">
        <v>596</v>
      </c>
      <c r="BE13" s="1">
        <v>765</v>
      </c>
      <c r="BF13" s="1">
        <v>3920</v>
      </c>
      <c r="BG13" s="1">
        <v>1454</v>
      </c>
      <c r="BH13" s="1">
        <v>2466</v>
      </c>
      <c r="BI13" s="1">
        <v>1155</v>
      </c>
      <c r="BJ13" s="1">
        <v>480</v>
      </c>
      <c r="BK13" s="1">
        <v>675</v>
      </c>
      <c r="BL13" s="1">
        <v>1166</v>
      </c>
      <c r="BM13" s="1">
        <v>456</v>
      </c>
      <c r="BN13" s="1">
        <v>710</v>
      </c>
      <c r="BO13" s="1">
        <v>895</v>
      </c>
      <c r="BP13" s="1">
        <v>305</v>
      </c>
      <c r="BQ13" s="1">
        <v>590</v>
      </c>
      <c r="BR13" s="1">
        <v>704</v>
      </c>
      <c r="BS13" s="1">
        <v>213</v>
      </c>
      <c r="BT13" s="1">
        <v>491</v>
      </c>
      <c r="BU13" s="1">
        <v>603</v>
      </c>
      <c r="BV13" s="1">
        <v>18.600000000000001</v>
      </c>
      <c r="BW13" s="1">
        <v>13.26</v>
      </c>
      <c r="BX13" s="1">
        <v>0.52</v>
      </c>
      <c r="BY13" s="1">
        <v>4</v>
      </c>
      <c r="BZ13" s="1">
        <v>0</v>
      </c>
      <c r="CA13" s="1">
        <v>0</v>
      </c>
      <c r="CB13" s="1">
        <v>0</v>
      </c>
      <c r="CC13" s="1">
        <v>3</v>
      </c>
      <c r="CD13" s="1">
        <v>12.4</v>
      </c>
      <c r="CE13" s="1">
        <v>0.04</v>
      </c>
      <c r="CF13" s="1">
        <v>5.94</v>
      </c>
      <c r="CG13" s="1" t="s">
        <v>133</v>
      </c>
      <c r="CH13" s="1" t="s">
        <v>133</v>
      </c>
      <c r="CI13" s="1" t="s">
        <v>133</v>
      </c>
      <c r="CJ13" s="1" t="s">
        <v>133</v>
      </c>
      <c r="CK13" s="1" t="s">
        <v>133</v>
      </c>
      <c r="CL13" s="1" t="s">
        <v>133</v>
      </c>
      <c r="CM13" s="1">
        <v>3025.24</v>
      </c>
      <c r="CN13" s="1">
        <v>80.8</v>
      </c>
    </row>
    <row r="14" spans="1:92" x14ac:dyDescent="0.25">
      <c r="A14">
        <v>1411000</v>
      </c>
      <c r="B14" t="s">
        <v>13</v>
      </c>
      <c r="C14" s="1">
        <v>983.58</v>
      </c>
      <c r="D14" s="1">
        <v>954.89</v>
      </c>
      <c r="E14" s="1">
        <v>401177.31</v>
      </c>
      <c r="F14" s="1">
        <v>1029</v>
      </c>
      <c r="G14" s="1">
        <v>8130</v>
      </c>
      <c r="H14" s="1">
        <v>1</v>
      </c>
      <c r="I14" s="1">
        <v>255.9</v>
      </c>
      <c r="J14" s="1">
        <v>187</v>
      </c>
      <c r="K14" s="1">
        <v>2129</v>
      </c>
      <c r="L14" s="1">
        <v>18.899999999999999</v>
      </c>
      <c r="M14" s="1">
        <v>46836</v>
      </c>
      <c r="N14" s="1">
        <v>23347</v>
      </c>
      <c r="O14" s="1">
        <v>23489</v>
      </c>
      <c r="P14" s="1">
        <v>2611</v>
      </c>
      <c r="Q14" s="1">
        <v>1320</v>
      </c>
      <c r="R14" s="1">
        <v>1291</v>
      </c>
      <c r="S14" s="1">
        <v>2411</v>
      </c>
      <c r="T14" s="1">
        <v>1233</v>
      </c>
      <c r="U14" s="1">
        <v>1178</v>
      </c>
      <c r="V14" s="1">
        <v>2666</v>
      </c>
      <c r="W14" s="1">
        <v>1368</v>
      </c>
      <c r="X14" s="1">
        <v>1298</v>
      </c>
      <c r="Y14" s="1">
        <v>3196</v>
      </c>
      <c r="Z14" s="1">
        <v>1652</v>
      </c>
      <c r="AA14" s="1">
        <v>1544</v>
      </c>
      <c r="AB14" s="1">
        <v>3577</v>
      </c>
      <c r="AC14" s="1">
        <v>1851</v>
      </c>
      <c r="AD14" s="1">
        <v>1726</v>
      </c>
      <c r="AE14" s="1">
        <v>3685</v>
      </c>
      <c r="AF14" s="1">
        <v>1957</v>
      </c>
      <c r="AG14" s="1">
        <v>1728</v>
      </c>
      <c r="AH14" s="1">
        <v>3437</v>
      </c>
      <c r="AI14" s="1">
        <v>1818</v>
      </c>
      <c r="AJ14" s="1">
        <v>1619</v>
      </c>
      <c r="AK14" s="1">
        <v>3090</v>
      </c>
      <c r="AL14" s="1">
        <v>1667</v>
      </c>
      <c r="AM14" s="1">
        <v>1423</v>
      </c>
      <c r="AN14" s="1">
        <v>2820</v>
      </c>
      <c r="AO14" s="1">
        <v>1466</v>
      </c>
      <c r="AP14" s="1">
        <v>1354</v>
      </c>
      <c r="AQ14" s="1">
        <v>2907</v>
      </c>
      <c r="AR14" s="1">
        <v>1506</v>
      </c>
      <c r="AS14" s="1">
        <v>1401</v>
      </c>
      <c r="AT14" s="1">
        <v>3377</v>
      </c>
      <c r="AU14" s="1">
        <v>1769</v>
      </c>
      <c r="AV14" s="1">
        <v>1608</v>
      </c>
      <c r="AW14" s="1">
        <v>3446</v>
      </c>
      <c r="AX14" s="1">
        <v>1766</v>
      </c>
      <c r="AY14" s="1">
        <v>1680</v>
      </c>
      <c r="AZ14" s="1">
        <v>2938</v>
      </c>
      <c r="BA14" s="1">
        <v>1448</v>
      </c>
      <c r="BB14" s="1">
        <v>1490</v>
      </c>
      <c r="BC14" s="1">
        <v>1596</v>
      </c>
      <c r="BD14" s="1">
        <v>725</v>
      </c>
      <c r="BE14" s="1">
        <v>871</v>
      </c>
      <c r="BF14" s="1">
        <v>5079</v>
      </c>
      <c r="BG14" s="1">
        <v>1801</v>
      </c>
      <c r="BH14" s="1">
        <v>3278</v>
      </c>
      <c r="BI14" s="1">
        <v>1483</v>
      </c>
      <c r="BJ14" s="1">
        <v>617</v>
      </c>
      <c r="BK14" s="1">
        <v>866</v>
      </c>
      <c r="BL14" s="1">
        <v>1433</v>
      </c>
      <c r="BM14" s="1">
        <v>526</v>
      </c>
      <c r="BN14" s="1">
        <v>907</v>
      </c>
      <c r="BO14" s="1">
        <v>1263</v>
      </c>
      <c r="BP14" s="1">
        <v>397</v>
      </c>
      <c r="BQ14" s="1">
        <v>866</v>
      </c>
      <c r="BR14" s="1">
        <v>900</v>
      </c>
      <c r="BS14" s="1">
        <v>261</v>
      </c>
      <c r="BT14" s="1">
        <v>639</v>
      </c>
      <c r="BU14" s="1">
        <v>1087</v>
      </c>
      <c r="BV14" s="1">
        <v>23.18</v>
      </c>
      <c r="BW14" s="1">
        <v>8.89</v>
      </c>
      <c r="BX14" s="1">
        <v>7.4</v>
      </c>
      <c r="BY14" s="1" t="s">
        <v>133</v>
      </c>
      <c r="BZ14" s="1" t="s">
        <v>133</v>
      </c>
      <c r="CA14" s="1" t="s">
        <v>133</v>
      </c>
      <c r="CB14" s="1" t="s">
        <v>133</v>
      </c>
      <c r="CC14" s="1" t="s">
        <v>133</v>
      </c>
      <c r="CD14" s="1">
        <v>25.6</v>
      </c>
      <c r="CE14" s="1">
        <v>0.06</v>
      </c>
      <c r="CF14" s="1">
        <v>6.81</v>
      </c>
      <c r="CG14" s="1" t="s">
        <v>133</v>
      </c>
      <c r="CH14" s="1" t="s">
        <v>133</v>
      </c>
      <c r="CI14" s="1" t="s">
        <v>133</v>
      </c>
      <c r="CJ14" s="1" t="s">
        <v>133</v>
      </c>
      <c r="CK14" s="1" t="s">
        <v>133</v>
      </c>
      <c r="CL14" s="1" t="s">
        <v>133</v>
      </c>
      <c r="CM14" s="1">
        <v>3010.45</v>
      </c>
      <c r="CN14" s="1">
        <v>80.400000000000006</v>
      </c>
    </row>
    <row r="15" spans="1:92" x14ac:dyDescent="0.25">
      <c r="A15">
        <v>1412000</v>
      </c>
      <c r="B15" t="s">
        <v>14</v>
      </c>
      <c r="C15" s="1">
        <v>838.84</v>
      </c>
      <c r="D15" s="1">
        <v>791.67</v>
      </c>
      <c r="E15" s="1">
        <v>5247485.5199999996</v>
      </c>
      <c r="F15" s="1">
        <v>1411</v>
      </c>
      <c r="G15" s="1">
        <v>18935</v>
      </c>
      <c r="H15" s="1">
        <v>4</v>
      </c>
      <c r="I15" s="1">
        <v>854.8</v>
      </c>
      <c r="J15" s="1">
        <v>0</v>
      </c>
      <c r="K15" s="1">
        <v>5957</v>
      </c>
      <c r="L15" s="1">
        <v>14.8</v>
      </c>
      <c r="M15" s="1">
        <v>148929</v>
      </c>
      <c r="N15" s="1">
        <v>72650</v>
      </c>
      <c r="O15" s="1">
        <v>76279</v>
      </c>
      <c r="P15" s="1">
        <v>9220</v>
      </c>
      <c r="Q15" s="1">
        <v>4704</v>
      </c>
      <c r="R15" s="1">
        <v>4516</v>
      </c>
      <c r="S15" s="1">
        <v>8091</v>
      </c>
      <c r="T15" s="1">
        <v>4126</v>
      </c>
      <c r="U15" s="1">
        <v>3965</v>
      </c>
      <c r="V15" s="1">
        <v>8206</v>
      </c>
      <c r="W15" s="1">
        <v>4205</v>
      </c>
      <c r="X15" s="1">
        <v>4001</v>
      </c>
      <c r="Y15" s="1">
        <v>9043</v>
      </c>
      <c r="Z15" s="1">
        <v>4619</v>
      </c>
      <c r="AA15" s="1">
        <v>4424</v>
      </c>
      <c r="AB15" s="1">
        <v>10033</v>
      </c>
      <c r="AC15" s="1">
        <v>5181</v>
      </c>
      <c r="AD15" s="1">
        <v>4852</v>
      </c>
      <c r="AE15" s="1">
        <v>11699</v>
      </c>
      <c r="AF15" s="1">
        <v>5852</v>
      </c>
      <c r="AG15" s="1">
        <v>5847</v>
      </c>
      <c r="AH15" s="1">
        <v>12457</v>
      </c>
      <c r="AI15" s="1">
        <v>6287</v>
      </c>
      <c r="AJ15" s="1">
        <v>6170</v>
      </c>
      <c r="AK15" s="1">
        <v>11951</v>
      </c>
      <c r="AL15" s="1">
        <v>6044</v>
      </c>
      <c r="AM15" s="1">
        <v>5907</v>
      </c>
      <c r="AN15" s="1">
        <v>9701</v>
      </c>
      <c r="AO15" s="1">
        <v>4942</v>
      </c>
      <c r="AP15" s="1">
        <v>4759</v>
      </c>
      <c r="AQ15" s="1">
        <v>8954</v>
      </c>
      <c r="AR15" s="1">
        <v>4508</v>
      </c>
      <c r="AS15" s="1">
        <v>4446</v>
      </c>
      <c r="AT15" s="1">
        <v>10178</v>
      </c>
      <c r="AU15" s="1">
        <v>5130</v>
      </c>
      <c r="AV15" s="1">
        <v>5048</v>
      </c>
      <c r="AW15" s="1">
        <v>10561</v>
      </c>
      <c r="AX15" s="1">
        <v>5242</v>
      </c>
      <c r="AY15" s="1">
        <v>5319</v>
      </c>
      <c r="AZ15" s="1">
        <v>8780</v>
      </c>
      <c r="BA15" s="1">
        <v>4220</v>
      </c>
      <c r="BB15" s="1">
        <v>4560</v>
      </c>
      <c r="BC15" s="1">
        <v>5721</v>
      </c>
      <c r="BD15" s="1">
        <v>2480</v>
      </c>
      <c r="BE15" s="1">
        <v>3241</v>
      </c>
      <c r="BF15" s="1">
        <v>14334</v>
      </c>
      <c r="BG15" s="1">
        <v>5110</v>
      </c>
      <c r="BH15" s="1">
        <v>9224</v>
      </c>
      <c r="BI15" s="1">
        <v>4445</v>
      </c>
      <c r="BJ15" s="1">
        <v>1758</v>
      </c>
      <c r="BK15" s="1">
        <v>2687</v>
      </c>
      <c r="BL15" s="1">
        <v>4215</v>
      </c>
      <c r="BM15" s="1">
        <v>1565</v>
      </c>
      <c r="BN15" s="1">
        <v>2650</v>
      </c>
      <c r="BO15" s="1">
        <v>3337</v>
      </c>
      <c r="BP15" s="1">
        <v>1171</v>
      </c>
      <c r="BQ15" s="1">
        <v>2166</v>
      </c>
      <c r="BR15" s="1">
        <v>2337</v>
      </c>
      <c r="BS15" s="1">
        <v>616</v>
      </c>
      <c r="BT15" s="1">
        <v>1721</v>
      </c>
      <c r="BU15" s="1">
        <v>2945</v>
      </c>
      <c r="BV15" s="1">
        <v>19.82</v>
      </c>
      <c r="BW15" s="1">
        <v>13.52</v>
      </c>
      <c r="BX15" s="1">
        <v>1.35</v>
      </c>
      <c r="BY15" s="1">
        <v>367</v>
      </c>
      <c r="BZ15" s="1">
        <v>72</v>
      </c>
      <c r="CA15" s="1">
        <v>182</v>
      </c>
      <c r="CB15" s="1">
        <v>95</v>
      </c>
      <c r="CC15" s="1">
        <v>18</v>
      </c>
      <c r="CD15" s="1">
        <v>11.2</v>
      </c>
      <c r="CE15" s="1">
        <v>0.22</v>
      </c>
      <c r="CF15" s="1">
        <v>5.86</v>
      </c>
      <c r="CG15" s="1">
        <v>303</v>
      </c>
      <c r="CH15" s="1">
        <v>215</v>
      </c>
      <c r="CI15" s="1">
        <v>88</v>
      </c>
      <c r="CJ15" s="1">
        <v>99</v>
      </c>
      <c r="CK15" s="1">
        <v>76</v>
      </c>
      <c r="CL15" s="1">
        <v>23</v>
      </c>
      <c r="CM15" s="1">
        <v>3136.52</v>
      </c>
      <c r="CN15" s="1">
        <v>83.8</v>
      </c>
    </row>
    <row r="16" spans="1:92" x14ac:dyDescent="0.25">
      <c r="A16">
        <v>1413000</v>
      </c>
      <c r="B16" t="s">
        <v>15</v>
      </c>
      <c r="C16" s="1">
        <v>803.16</v>
      </c>
      <c r="D16" s="1">
        <v>825.88</v>
      </c>
      <c r="E16" s="1">
        <v>1691102.01</v>
      </c>
      <c r="F16" s="1">
        <v>4749</v>
      </c>
      <c r="G16" s="1">
        <v>20404</v>
      </c>
      <c r="H16" s="1">
        <v>1</v>
      </c>
      <c r="I16" s="1">
        <v>1233.7</v>
      </c>
      <c r="J16" s="1">
        <v>278</v>
      </c>
      <c r="K16" s="1">
        <v>4378</v>
      </c>
      <c r="L16" s="1">
        <v>14.2</v>
      </c>
      <c r="M16" s="1">
        <v>74420</v>
      </c>
      <c r="N16" s="1">
        <v>36593</v>
      </c>
      <c r="O16" s="1">
        <v>37827</v>
      </c>
      <c r="P16" s="1">
        <v>4010</v>
      </c>
      <c r="Q16" s="1">
        <v>2042</v>
      </c>
      <c r="R16" s="1">
        <v>1968</v>
      </c>
      <c r="S16" s="1">
        <v>3679</v>
      </c>
      <c r="T16" s="1">
        <v>1829</v>
      </c>
      <c r="U16" s="1">
        <v>1850</v>
      </c>
      <c r="V16" s="1">
        <v>4224</v>
      </c>
      <c r="W16" s="1">
        <v>2158</v>
      </c>
      <c r="X16" s="1">
        <v>2066</v>
      </c>
      <c r="Y16" s="1">
        <v>5074</v>
      </c>
      <c r="Z16" s="1">
        <v>2627</v>
      </c>
      <c r="AA16" s="1">
        <v>2447</v>
      </c>
      <c r="AB16" s="1">
        <v>5678</v>
      </c>
      <c r="AC16" s="1">
        <v>2980</v>
      </c>
      <c r="AD16" s="1">
        <v>2698</v>
      </c>
      <c r="AE16" s="1">
        <v>5957</v>
      </c>
      <c r="AF16" s="1">
        <v>3059</v>
      </c>
      <c r="AG16" s="1">
        <v>2898</v>
      </c>
      <c r="AH16" s="1">
        <v>5711</v>
      </c>
      <c r="AI16" s="1">
        <v>2992</v>
      </c>
      <c r="AJ16" s="1">
        <v>2719</v>
      </c>
      <c r="AK16" s="1">
        <v>5144</v>
      </c>
      <c r="AL16" s="1">
        <v>2689</v>
      </c>
      <c r="AM16" s="1">
        <v>2455</v>
      </c>
      <c r="AN16" s="1">
        <v>4655</v>
      </c>
      <c r="AO16" s="1">
        <v>2414</v>
      </c>
      <c r="AP16" s="1">
        <v>2241</v>
      </c>
      <c r="AQ16" s="1">
        <v>4787</v>
      </c>
      <c r="AR16" s="1">
        <v>2488</v>
      </c>
      <c r="AS16" s="1">
        <v>2299</v>
      </c>
      <c r="AT16" s="1">
        <v>5479</v>
      </c>
      <c r="AU16" s="1">
        <v>2789</v>
      </c>
      <c r="AV16" s="1">
        <v>2690</v>
      </c>
      <c r="AW16" s="1">
        <v>5249</v>
      </c>
      <c r="AX16" s="1">
        <v>2592</v>
      </c>
      <c r="AY16" s="1">
        <v>2657</v>
      </c>
      <c r="AZ16" s="1">
        <v>4377</v>
      </c>
      <c r="BA16" s="1">
        <v>2026</v>
      </c>
      <c r="BB16" s="1">
        <v>2351</v>
      </c>
      <c r="BC16" s="1">
        <v>2766</v>
      </c>
      <c r="BD16" s="1">
        <v>1229</v>
      </c>
      <c r="BE16" s="1">
        <v>1537</v>
      </c>
      <c r="BF16" s="1">
        <v>7630</v>
      </c>
      <c r="BG16" s="1">
        <v>2679</v>
      </c>
      <c r="BH16" s="1">
        <v>4951</v>
      </c>
      <c r="BI16" s="1">
        <v>2390</v>
      </c>
      <c r="BJ16" s="1">
        <v>941</v>
      </c>
      <c r="BK16" s="1">
        <v>1449</v>
      </c>
      <c r="BL16" s="1">
        <v>2204</v>
      </c>
      <c r="BM16" s="1">
        <v>837</v>
      </c>
      <c r="BN16" s="1">
        <v>1367</v>
      </c>
      <c r="BO16" s="1">
        <v>1804</v>
      </c>
      <c r="BP16" s="1">
        <v>564</v>
      </c>
      <c r="BQ16" s="1">
        <v>1240</v>
      </c>
      <c r="BR16" s="1">
        <v>1232</v>
      </c>
      <c r="BS16" s="1">
        <v>337</v>
      </c>
      <c r="BT16" s="1">
        <v>895</v>
      </c>
      <c r="BU16" s="1">
        <v>1588</v>
      </c>
      <c r="BV16" s="1">
        <v>21.3</v>
      </c>
      <c r="BW16" s="1">
        <v>13.54</v>
      </c>
      <c r="BX16" s="1">
        <v>3.07</v>
      </c>
      <c r="BY16" s="1">
        <v>140</v>
      </c>
      <c r="BZ16" s="1">
        <v>39</v>
      </c>
      <c r="CA16" s="1">
        <v>73</v>
      </c>
      <c r="CB16" s="1">
        <v>24</v>
      </c>
      <c r="CC16" s="1">
        <v>4</v>
      </c>
      <c r="CD16" s="1">
        <v>15.1</v>
      </c>
      <c r="CE16" s="1">
        <v>0.13</v>
      </c>
      <c r="CF16" s="1">
        <v>6.34</v>
      </c>
      <c r="CG16" s="1">
        <v>213</v>
      </c>
      <c r="CH16" s="1">
        <v>44</v>
      </c>
      <c r="CI16" s="1">
        <v>169</v>
      </c>
      <c r="CJ16" s="1">
        <v>60</v>
      </c>
      <c r="CK16" s="1">
        <v>24</v>
      </c>
      <c r="CL16" s="1">
        <v>36</v>
      </c>
      <c r="CM16" s="1">
        <v>2670.07</v>
      </c>
      <c r="CN16" s="1">
        <v>71.3</v>
      </c>
    </row>
    <row r="17" spans="1:92" x14ac:dyDescent="0.25">
      <c r="A17">
        <v>1414000</v>
      </c>
      <c r="B17" t="s">
        <v>16</v>
      </c>
      <c r="C17" s="1">
        <v>679.52</v>
      </c>
      <c r="D17" s="1">
        <v>682.59</v>
      </c>
      <c r="E17" s="1">
        <v>4907235.74</v>
      </c>
      <c r="F17" s="1">
        <v>5587</v>
      </c>
      <c r="G17" s="1">
        <v>36566</v>
      </c>
      <c r="H17" s="1">
        <v>1</v>
      </c>
      <c r="I17" s="1">
        <v>2612.3000000000002</v>
      </c>
      <c r="J17" s="1">
        <v>475</v>
      </c>
      <c r="K17" s="1">
        <v>5221</v>
      </c>
      <c r="L17" s="1">
        <v>15.8</v>
      </c>
      <c r="M17" s="1">
        <v>78321</v>
      </c>
      <c r="N17" s="1">
        <v>38228</v>
      </c>
      <c r="O17" s="1">
        <v>40093</v>
      </c>
      <c r="P17" s="1">
        <v>4447</v>
      </c>
      <c r="Q17" s="1">
        <v>2304</v>
      </c>
      <c r="R17" s="1">
        <v>2143</v>
      </c>
      <c r="S17" s="1">
        <v>4044</v>
      </c>
      <c r="T17" s="1">
        <v>2036</v>
      </c>
      <c r="U17" s="1">
        <v>2008</v>
      </c>
      <c r="V17" s="1">
        <v>3995</v>
      </c>
      <c r="W17" s="1">
        <v>2058</v>
      </c>
      <c r="X17" s="1">
        <v>1937</v>
      </c>
      <c r="Y17" s="1">
        <v>4460</v>
      </c>
      <c r="Z17" s="1">
        <v>2256</v>
      </c>
      <c r="AA17" s="1">
        <v>2204</v>
      </c>
      <c r="AB17" s="1">
        <v>5362</v>
      </c>
      <c r="AC17" s="1">
        <v>2751</v>
      </c>
      <c r="AD17" s="1">
        <v>2611</v>
      </c>
      <c r="AE17" s="1">
        <v>6484</v>
      </c>
      <c r="AF17" s="1">
        <v>3272</v>
      </c>
      <c r="AG17" s="1">
        <v>3212</v>
      </c>
      <c r="AH17" s="1">
        <v>6565</v>
      </c>
      <c r="AI17" s="1">
        <v>3361</v>
      </c>
      <c r="AJ17" s="1">
        <v>3204</v>
      </c>
      <c r="AK17" s="1">
        <v>6132</v>
      </c>
      <c r="AL17" s="1">
        <v>3097</v>
      </c>
      <c r="AM17" s="1">
        <v>3035</v>
      </c>
      <c r="AN17" s="1">
        <v>4978</v>
      </c>
      <c r="AO17" s="1">
        <v>2554</v>
      </c>
      <c r="AP17" s="1">
        <v>2424</v>
      </c>
      <c r="AQ17" s="1">
        <v>4738</v>
      </c>
      <c r="AR17" s="1">
        <v>2371</v>
      </c>
      <c r="AS17" s="1">
        <v>2367</v>
      </c>
      <c r="AT17" s="1">
        <v>5747</v>
      </c>
      <c r="AU17" s="1">
        <v>2832</v>
      </c>
      <c r="AV17" s="1">
        <v>2915</v>
      </c>
      <c r="AW17" s="1">
        <v>6299</v>
      </c>
      <c r="AX17" s="1">
        <v>3091</v>
      </c>
      <c r="AY17" s="1">
        <v>3208</v>
      </c>
      <c r="AZ17" s="1">
        <v>5018</v>
      </c>
      <c r="BA17" s="1">
        <v>2419</v>
      </c>
      <c r="BB17" s="1">
        <v>2599</v>
      </c>
      <c r="BC17" s="1">
        <v>2898</v>
      </c>
      <c r="BD17" s="1">
        <v>1295</v>
      </c>
      <c r="BE17" s="1">
        <v>1603</v>
      </c>
      <c r="BF17" s="1">
        <v>7154</v>
      </c>
      <c r="BG17" s="1">
        <v>2531</v>
      </c>
      <c r="BH17" s="1">
        <v>4623</v>
      </c>
      <c r="BI17" s="1">
        <v>2348</v>
      </c>
      <c r="BJ17" s="1">
        <v>932</v>
      </c>
      <c r="BK17" s="1">
        <v>1416</v>
      </c>
      <c r="BL17" s="1">
        <v>2117</v>
      </c>
      <c r="BM17" s="1">
        <v>766</v>
      </c>
      <c r="BN17" s="1">
        <v>1351</v>
      </c>
      <c r="BO17" s="1">
        <v>1610</v>
      </c>
      <c r="BP17" s="1">
        <v>548</v>
      </c>
      <c r="BQ17" s="1">
        <v>1062</v>
      </c>
      <c r="BR17" s="1">
        <v>1079</v>
      </c>
      <c r="BS17" s="1">
        <v>285</v>
      </c>
      <c r="BT17" s="1">
        <v>794</v>
      </c>
      <c r="BU17" s="1">
        <v>2468</v>
      </c>
      <c r="BV17" s="1">
        <v>31.57</v>
      </c>
      <c r="BW17" s="1">
        <v>20.43</v>
      </c>
      <c r="BX17" s="1">
        <v>2.89</v>
      </c>
      <c r="BY17" s="1">
        <v>243</v>
      </c>
      <c r="BZ17" s="1">
        <v>76</v>
      </c>
      <c r="CA17" s="1">
        <v>128</v>
      </c>
      <c r="CB17" s="1">
        <v>39</v>
      </c>
      <c r="CC17" s="1">
        <v>0</v>
      </c>
      <c r="CD17" s="1">
        <v>13</v>
      </c>
      <c r="CE17" s="1">
        <v>0.12</v>
      </c>
      <c r="CF17" s="1">
        <v>5.14</v>
      </c>
      <c r="CG17" s="1" t="s">
        <v>133</v>
      </c>
      <c r="CH17" s="1" t="s">
        <v>133</v>
      </c>
      <c r="CI17" s="1" t="s">
        <v>133</v>
      </c>
      <c r="CJ17" s="1" t="s">
        <v>133</v>
      </c>
      <c r="CK17" s="1" t="s">
        <v>133</v>
      </c>
      <c r="CL17" s="1" t="s">
        <v>133</v>
      </c>
      <c r="CM17" s="1">
        <v>4145.3500000000004</v>
      </c>
      <c r="CN17" s="1">
        <v>110.7</v>
      </c>
    </row>
    <row r="18" spans="1:92" x14ac:dyDescent="0.25">
      <c r="A18">
        <v>1415000</v>
      </c>
      <c r="B18" t="s">
        <v>17</v>
      </c>
      <c r="C18" s="1">
        <v>779.76</v>
      </c>
      <c r="D18" s="1">
        <v>738.37</v>
      </c>
      <c r="E18" s="1">
        <v>1306421.82</v>
      </c>
      <c r="F18" s="1">
        <v>794</v>
      </c>
      <c r="G18" s="1">
        <v>9046</v>
      </c>
      <c r="H18" s="1">
        <v>1</v>
      </c>
      <c r="I18" s="1">
        <v>843.7</v>
      </c>
      <c r="J18" s="1">
        <v>0</v>
      </c>
      <c r="K18" s="1">
        <v>2928</v>
      </c>
      <c r="L18" s="1">
        <v>13.7</v>
      </c>
      <c r="M18" s="1">
        <v>87830</v>
      </c>
      <c r="N18" s="1">
        <v>44569</v>
      </c>
      <c r="O18" s="1">
        <v>43261</v>
      </c>
      <c r="P18" s="1">
        <v>5197</v>
      </c>
      <c r="Q18" s="1">
        <v>2658</v>
      </c>
      <c r="R18" s="1">
        <v>2539</v>
      </c>
      <c r="S18" s="1">
        <v>4962</v>
      </c>
      <c r="T18" s="1">
        <v>2520</v>
      </c>
      <c r="U18" s="1">
        <v>2442</v>
      </c>
      <c r="V18" s="1">
        <v>5634</v>
      </c>
      <c r="W18" s="1">
        <v>2974</v>
      </c>
      <c r="X18" s="1">
        <v>2660</v>
      </c>
      <c r="Y18" s="1">
        <v>6629</v>
      </c>
      <c r="Z18" s="1">
        <v>3454</v>
      </c>
      <c r="AA18" s="1">
        <v>3175</v>
      </c>
      <c r="AB18" s="1">
        <v>7488</v>
      </c>
      <c r="AC18" s="1">
        <v>4006</v>
      </c>
      <c r="AD18" s="1">
        <v>3482</v>
      </c>
      <c r="AE18" s="1">
        <v>7147</v>
      </c>
      <c r="AF18" s="1">
        <v>3719</v>
      </c>
      <c r="AG18" s="1">
        <v>3428</v>
      </c>
      <c r="AH18" s="1">
        <v>6476</v>
      </c>
      <c r="AI18" s="1">
        <v>3428</v>
      </c>
      <c r="AJ18" s="1">
        <v>3048</v>
      </c>
      <c r="AK18" s="1">
        <v>5979</v>
      </c>
      <c r="AL18" s="1">
        <v>3191</v>
      </c>
      <c r="AM18" s="1">
        <v>2788</v>
      </c>
      <c r="AN18" s="1">
        <v>5957</v>
      </c>
      <c r="AO18" s="1">
        <v>3093</v>
      </c>
      <c r="AP18" s="1">
        <v>2864</v>
      </c>
      <c r="AQ18" s="1">
        <v>6048</v>
      </c>
      <c r="AR18" s="1">
        <v>3294</v>
      </c>
      <c r="AS18" s="1">
        <v>2754</v>
      </c>
      <c r="AT18" s="1">
        <v>6116</v>
      </c>
      <c r="AU18" s="1">
        <v>3343</v>
      </c>
      <c r="AV18" s="1">
        <v>2773</v>
      </c>
      <c r="AW18" s="1">
        <v>5196</v>
      </c>
      <c r="AX18" s="1">
        <v>2770</v>
      </c>
      <c r="AY18" s="1">
        <v>2426</v>
      </c>
      <c r="AZ18" s="1">
        <v>3944</v>
      </c>
      <c r="BA18" s="1">
        <v>1998</v>
      </c>
      <c r="BB18" s="1">
        <v>1946</v>
      </c>
      <c r="BC18" s="1">
        <v>2432</v>
      </c>
      <c r="BD18" s="1">
        <v>1056</v>
      </c>
      <c r="BE18" s="1">
        <v>1376</v>
      </c>
      <c r="BF18" s="1">
        <v>8625</v>
      </c>
      <c r="BG18" s="1">
        <v>3065</v>
      </c>
      <c r="BH18" s="1">
        <v>5560</v>
      </c>
      <c r="BI18" s="1">
        <v>2657</v>
      </c>
      <c r="BJ18" s="1">
        <v>1082</v>
      </c>
      <c r="BK18" s="1">
        <v>1575</v>
      </c>
      <c r="BL18" s="1">
        <v>2557</v>
      </c>
      <c r="BM18" s="1">
        <v>969</v>
      </c>
      <c r="BN18" s="1">
        <v>1588</v>
      </c>
      <c r="BO18" s="1">
        <v>2041</v>
      </c>
      <c r="BP18" s="1">
        <v>625</v>
      </c>
      <c r="BQ18" s="1">
        <v>1416</v>
      </c>
      <c r="BR18" s="1">
        <v>1370</v>
      </c>
      <c r="BS18" s="1">
        <v>389</v>
      </c>
      <c r="BT18" s="1">
        <v>981</v>
      </c>
      <c r="BU18" s="1">
        <v>3815</v>
      </c>
      <c r="BV18" s="1">
        <v>43.5</v>
      </c>
      <c r="BW18" s="1">
        <v>22.64</v>
      </c>
      <c r="BX18" s="1">
        <v>12.06</v>
      </c>
      <c r="BY18" s="1">
        <v>4</v>
      </c>
      <c r="BZ18" s="1">
        <v>0</v>
      </c>
      <c r="CA18" s="1">
        <v>0</v>
      </c>
      <c r="CB18" s="1">
        <v>0</v>
      </c>
      <c r="CC18" s="1">
        <v>0</v>
      </c>
      <c r="CD18" s="1">
        <v>18.7</v>
      </c>
      <c r="CE18" s="1">
        <v>7.0000000000000007E-2</v>
      </c>
      <c r="CF18" s="1">
        <v>6.28</v>
      </c>
      <c r="CG18" s="1" t="s">
        <v>133</v>
      </c>
      <c r="CH18" s="1" t="s">
        <v>133</v>
      </c>
      <c r="CI18" s="1" t="s">
        <v>133</v>
      </c>
      <c r="CJ18" s="1" t="s">
        <v>133</v>
      </c>
      <c r="CK18" s="1" t="s">
        <v>133</v>
      </c>
      <c r="CL18" s="1" t="s">
        <v>133</v>
      </c>
      <c r="CM18" s="1">
        <v>3213.82</v>
      </c>
      <c r="CN18" s="1">
        <v>85.8</v>
      </c>
    </row>
    <row r="19" spans="1:92" x14ac:dyDescent="0.25">
      <c r="A19">
        <v>1416000</v>
      </c>
      <c r="B19" t="s">
        <v>18</v>
      </c>
      <c r="C19" s="1">
        <v>822.57</v>
      </c>
      <c r="D19" s="1">
        <v>823.06</v>
      </c>
      <c r="E19" s="1">
        <v>4053672.1</v>
      </c>
      <c r="F19" s="1">
        <v>1666</v>
      </c>
      <c r="G19" s="1">
        <v>20229</v>
      </c>
      <c r="H19" s="1" t="s">
        <v>133</v>
      </c>
      <c r="I19" s="1" t="s">
        <v>133</v>
      </c>
      <c r="J19" s="1">
        <v>375</v>
      </c>
      <c r="K19" s="1">
        <v>3261</v>
      </c>
      <c r="L19" s="1">
        <v>16.600000000000001</v>
      </c>
      <c r="M19" s="1">
        <v>74998</v>
      </c>
      <c r="N19" s="1">
        <v>37183</v>
      </c>
      <c r="O19" s="1">
        <v>37815</v>
      </c>
      <c r="P19" s="1">
        <v>3878</v>
      </c>
      <c r="Q19" s="1">
        <v>1993</v>
      </c>
      <c r="R19" s="1">
        <v>1885</v>
      </c>
      <c r="S19" s="1">
        <v>3793</v>
      </c>
      <c r="T19" s="1">
        <v>1973</v>
      </c>
      <c r="U19" s="1">
        <v>1820</v>
      </c>
      <c r="V19" s="1">
        <v>4193</v>
      </c>
      <c r="W19" s="1">
        <v>2130</v>
      </c>
      <c r="X19" s="1">
        <v>2063</v>
      </c>
      <c r="Y19" s="1">
        <v>5100</v>
      </c>
      <c r="Z19" s="1">
        <v>2545</v>
      </c>
      <c r="AA19" s="1">
        <v>2555</v>
      </c>
      <c r="AB19" s="1">
        <v>5678</v>
      </c>
      <c r="AC19" s="1">
        <v>2891</v>
      </c>
      <c r="AD19" s="1">
        <v>2787</v>
      </c>
      <c r="AE19" s="1">
        <v>5893</v>
      </c>
      <c r="AF19" s="1">
        <v>3116</v>
      </c>
      <c r="AG19" s="1">
        <v>2777</v>
      </c>
      <c r="AH19" s="1">
        <v>5572</v>
      </c>
      <c r="AI19" s="1">
        <v>2955</v>
      </c>
      <c r="AJ19" s="1">
        <v>2617</v>
      </c>
      <c r="AK19" s="1">
        <v>5125</v>
      </c>
      <c r="AL19" s="1">
        <v>2695</v>
      </c>
      <c r="AM19" s="1">
        <v>2430</v>
      </c>
      <c r="AN19" s="1">
        <v>4686</v>
      </c>
      <c r="AO19" s="1">
        <v>2467</v>
      </c>
      <c r="AP19" s="1">
        <v>2219</v>
      </c>
      <c r="AQ19" s="1">
        <v>4824</v>
      </c>
      <c r="AR19" s="1">
        <v>2440</v>
      </c>
      <c r="AS19" s="1">
        <v>2384</v>
      </c>
      <c r="AT19" s="1">
        <v>5183</v>
      </c>
      <c r="AU19" s="1">
        <v>2661</v>
      </c>
      <c r="AV19" s="1">
        <v>2522</v>
      </c>
      <c r="AW19" s="1">
        <v>5395</v>
      </c>
      <c r="AX19" s="1">
        <v>2771</v>
      </c>
      <c r="AY19" s="1">
        <v>2624</v>
      </c>
      <c r="AZ19" s="1">
        <v>4441</v>
      </c>
      <c r="BA19" s="1">
        <v>2141</v>
      </c>
      <c r="BB19" s="1">
        <v>2300</v>
      </c>
      <c r="BC19" s="1">
        <v>2853</v>
      </c>
      <c r="BD19" s="1">
        <v>1295</v>
      </c>
      <c r="BE19" s="1">
        <v>1558</v>
      </c>
      <c r="BF19" s="1">
        <v>8384</v>
      </c>
      <c r="BG19" s="1">
        <v>3110</v>
      </c>
      <c r="BH19" s="1">
        <v>5274</v>
      </c>
      <c r="BI19" s="1">
        <v>2509</v>
      </c>
      <c r="BJ19" s="1">
        <v>1085</v>
      </c>
      <c r="BK19" s="1">
        <v>1424</v>
      </c>
      <c r="BL19" s="1">
        <v>2387</v>
      </c>
      <c r="BM19" s="1">
        <v>937</v>
      </c>
      <c r="BN19" s="1">
        <v>1450</v>
      </c>
      <c r="BO19" s="1">
        <v>1992</v>
      </c>
      <c r="BP19" s="1">
        <v>671</v>
      </c>
      <c r="BQ19" s="1">
        <v>1321</v>
      </c>
      <c r="BR19" s="1">
        <v>1496</v>
      </c>
      <c r="BS19" s="1">
        <v>417</v>
      </c>
      <c r="BT19" s="1">
        <v>1079</v>
      </c>
      <c r="BU19" s="1">
        <v>2077</v>
      </c>
      <c r="BV19" s="1">
        <v>27.6</v>
      </c>
      <c r="BW19" s="1">
        <v>18.91</v>
      </c>
      <c r="BX19" s="1">
        <v>1.57</v>
      </c>
      <c r="BY19" s="1">
        <v>18</v>
      </c>
      <c r="BZ19" s="1">
        <v>5</v>
      </c>
      <c r="CA19" s="1">
        <v>9</v>
      </c>
      <c r="CB19" s="1">
        <v>4</v>
      </c>
      <c r="CC19" s="1">
        <v>0</v>
      </c>
      <c r="CD19" s="1">
        <v>18.2</v>
      </c>
      <c r="CE19" s="1">
        <v>7.0000000000000007E-2</v>
      </c>
      <c r="CF19" s="1">
        <v>4.63</v>
      </c>
      <c r="CG19" s="1">
        <v>103</v>
      </c>
      <c r="CH19" s="1">
        <v>62</v>
      </c>
      <c r="CI19" s="1">
        <v>41</v>
      </c>
      <c r="CJ19" s="1">
        <v>37</v>
      </c>
      <c r="CK19" s="1">
        <v>29</v>
      </c>
      <c r="CL19" s="1">
        <v>8</v>
      </c>
      <c r="CM19" s="1">
        <v>3174.79</v>
      </c>
      <c r="CN19" s="1">
        <v>84.8</v>
      </c>
    </row>
    <row r="20" spans="1:92" x14ac:dyDescent="0.25">
      <c r="A20">
        <v>1417000</v>
      </c>
      <c r="B20" t="s">
        <v>19</v>
      </c>
      <c r="C20" s="1">
        <v>848.16</v>
      </c>
      <c r="D20" s="1">
        <v>867.83</v>
      </c>
      <c r="E20" s="1">
        <v>3028805.31</v>
      </c>
      <c r="F20" s="1">
        <v>3246</v>
      </c>
      <c r="G20" s="1">
        <v>24729</v>
      </c>
      <c r="H20" s="1">
        <v>1</v>
      </c>
      <c r="I20" s="1">
        <v>409.2</v>
      </c>
      <c r="J20" s="1">
        <v>674</v>
      </c>
      <c r="K20" s="1">
        <v>4356</v>
      </c>
      <c r="L20" s="1">
        <v>18.2</v>
      </c>
      <c r="M20" s="1">
        <v>121977</v>
      </c>
      <c r="N20" s="1">
        <v>58334</v>
      </c>
      <c r="O20" s="1">
        <v>63643</v>
      </c>
      <c r="P20" s="1">
        <v>7181</v>
      </c>
      <c r="Q20" s="1">
        <v>3591</v>
      </c>
      <c r="R20" s="1">
        <v>3590</v>
      </c>
      <c r="S20" s="1">
        <v>6578</v>
      </c>
      <c r="T20" s="1">
        <v>3399</v>
      </c>
      <c r="U20" s="1">
        <v>3179</v>
      </c>
      <c r="V20" s="1">
        <v>5982</v>
      </c>
      <c r="W20" s="1">
        <v>3036</v>
      </c>
      <c r="X20" s="1">
        <v>2946</v>
      </c>
      <c r="Y20" s="1">
        <v>6772</v>
      </c>
      <c r="Z20" s="1">
        <v>3558</v>
      </c>
      <c r="AA20" s="1">
        <v>3214</v>
      </c>
      <c r="AB20" s="1">
        <v>7854</v>
      </c>
      <c r="AC20" s="1">
        <v>4024</v>
      </c>
      <c r="AD20" s="1">
        <v>3830</v>
      </c>
      <c r="AE20" s="1">
        <v>9165</v>
      </c>
      <c r="AF20" s="1">
        <v>4568</v>
      </c>
      <c r="AG20" s="1">
        <v>4597</v>
      </c>
      <c r="AH20" s="1">
        <v>9924</v>
      </c>
      <c r="AI20" s="1">
        <v>4909</v>
      </c>
      <c r="AJ20" s="1">
        <v>5015</v>
      </c>
      <c r="AK20" s="1">
        <v>9766</v>
      </c>
      <c r="AL20" s="1">
        <v>4833</v>
      </c>
      <c r="AM20" s="1">
        <v>4933</v>
      </c>
      <c r="AN20" s="1">
        <v>8201</v>
      </c>
      <c r="AO20" s="1">
        <v>4036</v>
      </c>
      <c r="AP20" s="1">
        <v>4165</v>
      </c>
      <c r="AQ20" s="1">
        <v>7555</v>
      </c>
      <c r="AR20" s="1">
        <v>3773</v>
      </c>
      <c r="AS20" s="1">
        <v>3782</v>
      </c>
      <c r="AT20" s="1">
        <v>8366</v>
      </c>
      <c r="AU20" s="1">
        <v>4043</v>
      </c>
      <c r="AV20" s="1">
        <v>4323</v>
      </c>
      <c r="AW20" s="1">
        <v>8948</v>
      </c>
      <c r="AX20" s="1">
        <v>4322</v>
      </c>
      <c r="AY20" s="1">
        <v>4626</v>
      </c>
      <c r="AZ20" s="1">
        <v>7587</v>
      </c>
      <c r="BA20" s="1">
        <v>3447</v>
      </c>
      <c r="BB20" s="1">
        <v>4140</v>
      </c>
      <c r="BC20" s="1">
        <v>5392</v>
      </c>
      <c r="BD20" s="1">
        <v>2308</v>
      </c>
      <c r="BE20" s="1">
        <v>3084</v>
      </c>
      <c r="BF20" s="1">
        <v>12706</v>
      </c>
      <c r="BG20" s="1">
        <v>4487</v>
      </c>
      <c r="BH20" s="1">
        <v>8219</v>
      </c>
      <c r="BI20" s="1">
        <v>4104</v>
      </c>
      <c r="BJ20" s="1">
        <v>1603</v>
      </c>
      <c r="BK20" s="1">
        <v>2501</v>
      </c>
      <c r="BL20" s="1">
        <v>3706</v>
      </c>
      <c r="BM20" s="1">
        <v>1388</v>
      </c>
      <c r="BN20" s="1">
        <v>2318</v>
      </c>
      <c r="BO20" s="1">
        <v>2804</v>
      </c>
      <c r="BP20" s="1">
        <v>931</v>
      </c>
      <c r="BQ20" s="1">
        <v>1873</v>
      </c>
      <c r="BR20" s="1">
        <v>2092</v>
      </c>
      <c r="BS20" s="1">
        <v>565</v>
      </c>
      <c r="BT20" s="1">
        <v>1527</v>
      </c>
      <c r="BU20" s="1">
        <v>2814</v>
      </c>
      <c r="BV20" s="1">
        <v>23.14</v>
      </c>
      <c r="BW20" s="1">
        <v>15.41</v>
      </c>
      <c r="BX20" s="1">
        <v>3.03</v>
      </c>
      <c r="BY20" s="1">
        <v>168</v>
      </c>
      <c r="BZ20" s="1">
        <v>35</v>
      </c>
      <c r="CA20" s="1">
        <v>77</v>
      </c>
      <c r="CB20" s="1">
        <v>30</v>
      </c>
      <c r="CC20" s="1">
        <v>26</v>
      </c>
      <c r="CD20" s="1">
        <v>9.9</v>
      </c>
      <c r="CE20" s="1">
        <v>0.18</v>
      </c>
      <c r="CF20" s="1">
        <v>4.59</v>
      </c>
      <c r="CG20" s="1">
        <v>2053</v>
      </c>
      <c r="CH20" s="1">
        <v>1319</v>
      </c>
      <c r="CI20" s="1">
        <v>734</v>
      </c>
      <c r="CJ20" s="1">
        <v>403</v>
      </c>
      <c r="CK20" s="1">
        <v>276</v>
      </c>
      <c r="CL20" s="1">
        <v>127</v>
      </c>
      <c r="CM20" s="1">
        <v>3490.03</v>
      </c>
      <c r="CN20" s="1">
        <v>93.2</v>
      </c>
    </row>
    <row r="21" spans="1:92" x14ac:dyDescent="0.25">
      <c r="A21">
        <v>1418000</v>
      </c>
      <c r="B21" t="s">
        <v>20</v>
      </c>
      <c r="C21" s="1">
        <v>990.4</v>
      </c>
      <c r="D21" s="1">
        <v>1001.23</v>
      </c>
      <c r="E21" s="1">
        <v>4572822.07</v>
      </c>
      <c r="F21" s="1">
        <v>2159</v>
      </c>
      <c r="G21" s="1">
        <v>131571</v>
      </c>
      <c r="H21" s="1">
        <v>1</v>
      </c>
      <c r="I21" s="1">
        <v>452.9</v>
      </c>
      <c r="J21" s="1">
        <v>1609</v>
      </c>
      <c r="K21" s="1">
        <v>6498</v>
      </c>
      <c r="L21" s="1">
        <v>19.3</v>
      </c>
      <c r="M21" s="1">
        <v>168935</v>
      </c>
      <c r="N21" s="1">
        <v>80732</v>
      </c>
      <c r="O21" s="1">
        <v>88203</v>
      </c>
      <c r="P21" s="1">
        <v>11333</v>
      </c>
      <c r="Q21" s="1">
        <v>5762</v>
      </c>
      <c r="R21" s="1">
        <v>5571</v>
      </c>
      <c r="S21" s="1">
        <v>10908</v>
      </c>
      <c r="T21" s="1">
        <v>5553</v>
      </c>
      <c r="U21" s="1">
        <v>5355</v>
      </c>
      <c r="V21" s="1">
        <v>8984</v>
      </c>
      <c r="W21" s="1">
        <v>4615</v>
      </c>
      <c r="X21" s="1">
        <v>4369</v>
      </c>
      <c r="Y21" s="1">
        <v>9051</v>
      </c>
      <c r="Z21" s="1">
        <v>4536</v>
      </c>
      <c r="AA21" s="1">
        <v>4515</v>
      </c>
      <c r="AB21" s="1">
        <v>9505</v>
      </c>
      <c r="AC21" s="1">
        <v>4865</v>
      </c>
      <c r="AD21" s="1">
        <v>4640</v>
      </c>
      <c r="AE21" s="1">
        <v>12029</v>
      </c>
      <c r="AF21" s="1">
        <v>5861</v>
      </c>
      <c r="AG21" s="1">
        <v>6168</v>
      </c>
      <c r="AH21" s="1">
        <v>15557</v>
      </c>
      <c r="AI21" s="1">
        <v>7330</v>
      </c>
      <c r="AJ21" s="1">
        <v>8227</v>
      </c>
      <c r="AK21" s="1">
        <v>16427</v>
      </c>
      <c r="AL21" s="1">
        <v>7836</v>
      </c>
      <c r="AM21" s="1">
        <v>8591</v>
      </c>
      <c r="AN21" s="1">
        <v>12892</v>
      </c>
      <c r="AO21" s="1">
        <v>6376</v>
      </c>
      <c r="AP21" s="1">
        <v>6516</v>
      </c>
      <c r="AQ21" s="1">
        <v>10032</v>
      </c>
      <c r="AR21" s="1">
        <v>4980</v>
      </c>
      <c r="AS21" s="1">
        <v>5052</v>
      </c>
      <c r="AT21" s="1">
        <v>10302</v>
      </c>
      <c r="AU21" s="1">
        <v>5048</v>
      </c>
      <c r="AV21" s="1">
        <v>5254</v>
      </c>
      <c r="AW21" s="1">
        <v>11621</v>
      </c>
      <c r="AX21" s="1">
        <v>5470</v>
      </c>
      <c r="AY21" s="1">
        <v>6151</v>
      </c>
      <c r="AZ21" s="1">
        <v>9968</v>
      </c>
      <c r="BA21" s="1">
        <v>4509</v>
      </c>
      <c r="BB21" s="1">
        <v>5459</v>
      </c>
      <c r="BC21" s="1">
        <v>6773</v>
      </c>
      <c r="BD21" s="1">
        <v>2995</v>
      </c>
      <c r="BE21" s="1">
        <v>3778</v>
      </c>
      <c r="BF21" s="1">
        <v>13553</v>
      </c>
      <c r="BG21" s="1">
        <v>4996</v>
      </c>
      <c r="BH21" s="1">
        <v>8557</v>
      </c>
      <c r="BI21" s="1">
        <v>4601</v>
      </c>
      <c r="BJ21" s="1">
        <v>1930</v>
      </c>
      <c r="BK21" s="1">
        <v>2671</v>
      </c>
      <c r="BL21" s="1">
        <v>3879</v>
      </c>
      <c r="BM21" s="1">
        <v>1507</v>
      </c>
      <c r="BN21" s="1">
        <v>2372</v>
      </c>
      <c r="BO21" s="1">
        <v>2882</v>
      </c>
      <c r="BP21" s="1">
        <v>992</v>
      </c>
      <c r="BQ21" s="1">
        <v>1890</v>
      </c>
      <c r="BR21" s="1">
        <v>2191</v>
      </c>
      <c r="BS21" s="1">
        <v>567</v>
      </c>
      <c r="BT21" s="1">
        <v>1624</v>
      </c>
      <c r="BU21" s="1">
        <v>3840</v>
      </c>
      <c r="BV21" s="1">
        <v>22.92</v>
      </c>
      <c r="BW21" s="1">
        <v>16.829999999999998</v>
      </c>
      <c r="BX21" s="1">
        <v>1.84</v>
      </c>
      <c r="BY21" s="1">
        <v>1316</v>
      </c>
      <c r="BZ21" s="1">
        <v>189</v>
      </c>
      <c r="CA21" s="1">
        <v>621</v>
      </c>
      <c r="CB21" s="1">
        <v>257</v>
      </c>
      <c r="CC21" s="1">
        <v>249</v>
      </c>
      <c r="CD21" s="1">
        <v>8.1999999999999993</v>
      </c>
      <c r="CE21" s="1">
        <v>0.34</v>
      </c>
      <c r="CF21" s="1">
        <v>5.13</v>
      </c>
      <c r="CG21" s="1" t="s">
        <v>133</v>
      </c>
      <c r="CH21" s="1" t="s">
        <v>133</v>
      </c>
      <c r="CI21" s="1" t="s">
        <v>133</v>
      </c>
      <c r="CJ21" s="1" t="s">
        <v>133</v>
      </c>
      <c r="CK21" s="1" t="s">
        <v>133</v>
      </c>
      <c r="CL21" s="1" t="s">
        <v>133</v>
      </c>
      <c r="CM21" s="1">
        <v>3810.36</v>
      </c>
      <c r="CN21" s="1">
        <v>101.8</v>
      </c>
    </row>
    <row r="22" spans="1:92" x14ac:dyDescent="0.25">
      <c r="A22">
        <v>1419000</v>
      </c>
      <c r="B22" t="s">
        <v>21</v>
      </c>
      <c r="C22" s="1">
        <v>766.71</v>
      </c>
      <c r="D22" s="1">
        <v>802.25</v>
      </c>
      <c r="E22" s="1">
        <v>4666394.7300000004</v>
      </c>
      <c r="F22" s="1">
        <v>1589</v>
      </c>
      <c r="G22" s="1">
        <v>17544</v>
      </c>
      <c r="H22" s="1" t="s">
        <v>133</v>
      </c>
      <c r="I22" s="1" t="s">
        <v>133</v>
      </c>
      <c r="J22" s="1">
        <v>0</v>
      </c>
      <c r="K22" s="1">
        <v>3360</v>
      </c>
      <c r="L22" s="1">
        <v>19.399999999999999</v>
      </c>
      <c r="M22" s="1">
        <v>110890</v>
      </c>
      <c r="N22" s="1">
        <v>55136</v>
      </c>
      <c r="O22" s="1">
        <v>55754</v>
      </c>
      <c r="P22" s="1">
        <v>5869</v>
      </c>
      <c r="Q22" s="1">
        <v>2984</v>
      </c>
      <c r="R22" s="1">
        <v>2885</v>
      </c>
      <c r="S22" s="1">
        <v>5801</v>
      </c>
      <c r="T22" s="1">
        <v>3023</v>
      </c>
      <c r="U22" s="1">
        <v>2778</v>
      </c>
      <c r="V22" s="1">
        <v>6296</v>
      </c>
      <c r="W22" s="1">
        <v>3257</v>
      </c>
      <c r="X22" s="1">
        <v>3039</v>
      </c>
      <c r="Y22" s="1">
        <v>7812</v>
      </c>
      <c r="Z22" s="1">
        <v>3997</v>
      </c>
      <c r="AA22" s="1">
        <v>3815</v>
      </c>
      <c r="AB22" s="1">
        <v>8539</v>
      </c>
      <c r="AC22" s="1">
        <v>4418</v>
      </c>
      <c r="AD22" s="1">
        <v>4121</v>
      </c>
      <c r="AE22" s="1">
        <v>8460</v>
      </c>
      <c r="AF22" s="1">
        <v>4444</v>
      </c>
      <c r="AG22" s="1">
        <v>4016</v>
      </c>
      <c r="AH22" s="1">
        <v>8261</v>
      </c>
      <c r="AI22" s="1">
        <v>4259</v>
      </c>
      <c r="AJ22" s="1">
        <v>4002</v>
      </c>
      <c r="AK22" s="1">
        <v>8468</v>
      </c>
      <c r="AL22" s="1">
        <v>4455</v>
      </c>
      <c r="AM22" s="1">
        <v>4013</v>
      </c>
      <c r="AN22" s="1">
        <v>7953</v>
      </c>
      <c r="AO22" s="1">
        <v>4057</v>
      </c>
      <c r="AP22" s="1">
        <v>3896</v>
      </c>
      <c r="AQ22" s="1">
        <v>7245</v>
      </c>
      <c r="AR22" s="1">
        <v>3743</v>
      </c>
      <c r="AS22" s="1">
        <v>3502</v>
      </c>
      <c r="AT22" s="1">
        <v>7369</v>
      </c>
      <c r="AU22" s="1">
        <v>3836</v>
      </c>
      <c r="AV22" s="1">
        <v>3533</v>
      </c>
      <c r="AW22" s="1">
        <v>7435</v>
      </c>
      <c r="AX22" s="1">
        <v>3789</v>
      </c>
      <c r="AY22" s="1">
        <v>3646</v>
      </c>
      <c r="AZ22" s="1">
        <v>6544</v>
      </c>
      <c r="BA22" s="1">
        <v>3131</v>
      </c>
      <c r="BB22" s="1">
        <v>3413</v>
      </c>
      <c r="BC22" s="1">
        <v>4157</v>
      </c>
      <c r="BD22" s="1">
        <v>1893</v>
      </c>
      <c r="BE22" s="1">
        <v>2264</v>
      </c>
      <c r="BF22" s="1">
        <v>10681</v>
      </c>
      <c r="BG22" s="1">
        <v>3850</v>
      </c>
      <c r="BH22" s="1">
        <v>6831</v>
      </c>
      <c r="BI22" s="1">
        <v>3528</v>
      </c>
      <c r="BJ22" s="1">
        <v>1512</v>
      </c>
      <c r="BK22" s="1">
        <v>2016</v>
      </c>
      <c r="BL22" s="1">
        <v>2880</v>
      </c>
      <c r="BM22" s="1">
        <v>1087</v>
      </c>
      <c r="BN22" s="1">
        <v>1793</v>
      </c>
      <c r="BO22" s="1">
        <v>2516</v>
      </c>
      <c r="BP22" s="1">
        <v>788</v>
      </c>
      <c r="BQ22" s="1">
        <v>1728</v>
      </c>
      <c r="BR22" s="1">
        <v>1757</v>
      </c>
      <c r="BS22" s="1">
        <v>463</v>
      </c>
      <c r="BT22" s="1">
        <v>1294</v>
      </c>
      <c r="BU22" s="1">
        <v>4826</v>
      </c>
      <c r="BV22" s="1">
        <v>43.64</v>
      </c>
      <c r="BW22" s="1">
        <v>29.67</v>
      </c>
      <c r="BX22" s="1">
        <v>5.14</v>
      </c>
      <c r="BY22" s="1" t="s">
        <v>133</v>
      </c>
      <c r="BZ22" s="1" t="s">
        <v>133</v>
      </c>
      <c r="CA22" s="1" t="s">
        <v>133</v>
      </c>
      <c r="CB22" s="1" t="s">
        <v>133</v>
      </c>
      <c r="CC22" s="1" t="s">
        <v>133</v>
      </c>
      <c r="CD22" s="1">
        <v>21.1</v>
      </c>
      <c r="CE22" s="1">
        <v>0.14000000000000001</v>
      </c>
      <c r="CF22" s="1">
        <v>8.27</v>
      </c>
      <c r="CG22" s="1" t="s">
        <v>133</v>
      </c>
      <c r="CH22" s="1" t="s">
        <v>133</v>
      </c>
      <c r="CI22" s="1" t="s">
        <v>133</v>
      </c>
      <c r="CJ22" s="1" t="s">
        <v>133</v>
      </c>
      <c r="CK22" s="1" t="s">
        <v>133</v>
      </c>
      <c r="CL22" s="1" t="s">
        <v>133</v>
      </c>
      <c r="CM22" s="1">
        <v>3223.08</v>
      </c>
      <c r="CN22" s="1">
        <v>86.1</v>
      </c>
    </row>
    <row r="23" spans="1:92" x14ac:dyDescent="0.25">
      <c r="A23">
        <v>1420000</v>
      </c>
      <c r="B23" t="s">
        <v>22</v>
      </c>
      <c r="C23" s="1">
        <v>876.78</v>
      </c>
      <c r="D23" s="1">
        <v>913.78</v>
      </c>
      <c r="E23" s="1">
        <v>8852966.2599999998</v>
      </c>
      <c r="F23" s="1">
        <v>1567</v>
      </c>
      <c r="G23" s="1">
        <v>15237</v>
      </c>
      <c r="H23" s="1" t="s">
        <v>133</v>
      </c>
      <c r="I23" s="1" t="s">
        <v>133</v>
      </c>
      <c r="J23" s="1">
        <v>230</v>
      </c>
      <c r="K23" s="1">
        <v>4239</v>
      </c>
      <c r="L23" s="1">
        <v>16</v>
      </c>
      <c r="M23" s="1">
        <v>89025</v>
      </c>
      <c r="N23" s="1">
        <v>43873</v>
      </c>
      <c r="O23" s="1">
        <v>45152</v>
      </c>
      <c r="P23" s="1">
        <v>4651</v>
      </c>
      <c r="Q23" s="1">
        <v>2303</v>
      </c>
      <c r="R23" s="1">
        <v>2348</v>
      </c>
      <c r="S23" s="1">
        <v>4505</v>
      </c>
      <c r="T23" s="1">
        <v>2396</v>
      </c>
      <c r="U23" s="1">
        <v>2109</v>
      </c>
      <c r="V23" s="1">
        <v>4938</v>
      </c>
      <c r="W23" s="1">
        <v>2556</v>
      </c>
      <c r="X23" s="1">
        <v>2382</v>
      </c>
      <c r="Y23" s="1">
        <v>5782</v>
      </c>
      <c r="Z23" s="1">
        <v>2928</v>
      </c>
      <c r="AA23" s="1">
        <v>2854</v>
      </c>
      <c r="AB23" s="1">
        <v>6482</v>
      </c>
      <c r="AC23" s="1">
        <v>3312</v>
      </c>
      <c r="AD23" s="1">
        <v>3170</v>
      </c>
      <c r="AE23" s="1">
        <v>6957</v>
      </c>
      <c r="AF23" s="1">
        <v>3621</v>
      </c>
      <c r="AG23" s="1">
        <v>3336</v>
      </c>
      <c r="AH23" s="1">
        <v>6939</v>
      </c>
      <c r="AI23" s="1">
        <v>3721</v>
      </c>
      <c r="AJ23" s="1">
        <v>3218</v>
      </c>
      <c r="AK23" s="1">
        <v>6478</v>
      </c>
      <c r="AL23" s="1">
        <v>3357</v>
      </c>
      <c r="AM23" s="1">
        <v>3121</v>
      </c>
      <c r="AN23" s="1">
        <v>5639</v>
      </c>
      <c r="AO23" s="1">
        <v>2886</v>
      </c>
      <c r="AP23" s="1">
        <v>2753</v>
      </c>
      <c r="AQ23" s="1">
        <v>5526</v>
      </c>
      <c r="AR23" s="1">
        <v>2869</v>
      </c>
      <c r="AS23" s="1">
        <v>2657</v>
      </c>
      <c r="AT23" s="1">
        <v>6400</v>
      </c>
      <c r="AU23" s="1">
        <v>3222</v>
      </c>
      <c r="AV23" s="1">
        <v>3178</v>
      </c>
      <c r="AW23" s="1">
        <v>6735</v>
      </c>
      <c r="AX23" s="1">
        <v>3324</v>
      </c>
      <c r="AY23" s="1">
        <v>3411</v>
      </c>
      <c r="AZ23" s="1">
        <v>5560</v>
      </c>
      <c r="BA23" s="1">
        <v>2610</v>
      </c>
      <c r="BB23" s="1">
        <v>2950</v>
      </c>
      <c r="BC23" s="1">
        <v>3534</v>
      </c>
      <c r="BD23" s="1">
        <v>1591</v>
      </c>
      <c r="BE23" s="1">
        <v>1943</v>
      </c>
      <c r="BF23" s="1">
        <v>8899</v>
      </c>
      <c r="BG23" s="1">
        <v>3177</v>
      </c>
      <c r="BH23" s="1">
        <v>5722</v>
      </c>
      <c r="BI23" s="1">
        <v>2832</v>
      </c>
      <c r="BJ23" s="1">
        <v>1176</v>
      </c>
      <c r="BK23" s="1">
        <v>1656</v>
      </c>
      <c r="BL23" s="1">
        <v>2619</v>
      </c>
      <c r="BM23" s="1">
        <v>970</v>
      </c>
      <c r="BN23" s="1">
        <v>1649</v>
      </c>
      <c r="BO23" s="1">
        <v>1988</v>
      </c>
      <c r="BP23" s="1">
        <v>657</v>
      </c>
      <c r="BQ23" s="1">
        <v>1331</v>
      </c>
      <c r="BR23" s="1">
        <v>1460</v>
      </c>
      <c r="BS23" s="1">
        <v>374</v>
      </c>
      <c r="BT23" s="1">
        <v>1086</v>
      </c>
      <c r="BU23" s="1">
        <v>1725</v>
      </c>
      <c r="BV23" s="1">
        <v>19.37</v>
      </c>
      <c r="BW23" s="1">
        <v>12.1</v>
      </c>
      <c r="BX23" s="1">
        <v>2.2999999999999998</v>
      </c>
      <c r="BY23" s="1">
        <v>131</v>
      </c>
      <c r="BZ23" s="1">
        <v>44</v>
      </c>
      <c r="CA23" s="1">
        <v>56</v>
      </c>
      <c r="CB23" s="1">
        <v>27</v>
      </c>
      <c r="CC23" s="1">
        <v>4</v>
      </c>
      <c r="CD23" s="1">
        <v>18.100000000000001</v>
      </c>
      <c r="CE23" s="1">
        <v>0.09</v>
      </c>
      <c r="CF23" s="1">
        <v>5.0599999999999996</v>
      </c>
      <c r="CG23" s="1">
        <v>338</v>
      </c>
      <c r="CH23" s="1">
        <v>233</v>
      </c>
      <c r="CI23" s="1">
        <v>105</v>
      </c>
      <c r="CJ23" s="1">
        <v>129</v>
      </c>
      <c r="CK23" s="1">
        <v>93</v>
      </c>
      <c r="CL23" s="1">
        <v>36</v>
      </c>
      <c r="CM23" s="1">
        <v>3261.65</v>
      </c>
      <c r="CN23" s="1">
        <v>87.1</v>
      </c>
    </row>
    <row r="24" spans="1:92" x14ac:dyDescent="0.25">
      <c r="A24">
        <v>1421000</v>
      </c>
      <c r="B24" t="s">
        <v>23</v>
      </c>
      <c r="C24" s="1">
        <v>777.1</v>
      </c>
      <c r="D24" s="1">
        <v>736.8</v>
      </c>
      <c r="E24" s="1">
        <v>1097659.76</v>
      </c>
      <c r="F24" s="1">
        <v>4572</v>
      </c>
      <c r="G24" s="1">
        <v>42644</v>
      </c>
      <c r="H24" s="1">
        <v>2</v>
      </c>
      <c r="I24" s="1">
        <v>244.5</v>
      </c>
      <c r="J24" s="1">
        <v>69</v>
      </c>
      <c r="K24" s="1">
        <v>7128</v>
      </c>
      <c r="L24" s="1">
        <v>16.2</v>
      </c>
      <c r="M24" s="1">
        <v>156807</v>
      </c>
      <c r="N24" s="1">
        <v>74485</v>
      </c>
      <c r="O24" s="1">
        <v>82322</v>
      </c>
      <c r="P24" s="1">
        <v>9417</v>
      </c>
      <c r="Q24" s="1">
        <v>4929</v>
      </c>
      <c r="R24" s="1">
        <v>4488</v>
      </c>
      <c r="S24" s="1">
        <v>8343</v>
      </c>
      <c r="T24" s="1">
        <v>4291</v>
      </c>
      <c r="U24" s="1">
        <v>4052</v>
      </c>
      <c r="V24" s="1">
        <v>7321</v>
      </c>
      <c r="W24" s="1">
        <v>3745</v>
      </c>
      <c r="X24" s="1">
        <v>3576</v>
      </c>
      <c r="Y24" s="1">
        <v>7841</v>
      </c>
      <c r="Z24" s="1">
        <v>4017</v>
      </c>
      <c r="AA24" s="1">
        <v>3824</v>
      </c>
      <c r="AB24" s="1">
        <v>8823</v>
      </c>
      <c r="AC24" s="1">
        <v>4538</v>
      </c>
      <c r="AD24" s="1">
        <v>4285</v>
      </c>
      <c r="AE24" s="1">
        <v>11766</v>
      </c>
      <c r="AF24" s="1">
        <v>5811</v>
      </c>
      <c r="AG24" s="1">
        <v>5955</v>
      </c>
      <c r="AH24" s="1">
        <v>13925</v>
      </c>
      <c r="AI24" s="1">
        <v>6714</v>
      </c>
      <c r="AJ24" s="1">
        <v>7211</v>
      </c>
      <c r="AK24" s="1">
        <v>13311</v>
      </c>
      <c r="AL24" s="1">
        <v>6432</v>
      </c>
      <c r="AM24" s="1">
        <v>6879</v>
      </c>
      <c r="AN24" s="1">
        <v>10991</v>
      </c>
      <c r="AO24" s="1">
        <v>5387</v>
      </c>
      <c r="AP24" s="1">
        <v>5604</v>
      </c>
      <c r="AQ24" s="1">
        <v>9370</v>
      </c>
      <c r="AR24" s="1">
        <v>4591</v>
      </c>
      <c r="AS24" s="1">
        <v>4779</v>
      </c>
      <c r="AT24" s="1">
        <v>10254</v>
      </c>
      <c r="AU24" s="1">
        <v>4837</v>
      </c>
      <c r="AV24" s="1">
        <v>5417</v>
      </c>
      <c r="AW24" s="1">
        <v>11978</v>
      </c>
      <c r="AX24" s="1">
        <v>5566</v>
      </c>
      <c r="AY24" s="1">
        <v>6412</v>
      </c>
      <c r="AZ24" s="1">
        <v>10457</v>
      </c>
      <c r="BA24" s="1">
        <v>4632</v>
      </c>
      <c r="BB24" s="1">
        <v>5825</v>
      </c>
      <c r="BC24" s="1">
        <v>7246</v>
      </c>
      <c r="BD24" s="1">
        <v>3075</v>
      </c>
      <c r="BE24" s="1">
        <v>4171</v>
      </c>
      <c r="BF24" s="1">
        <v>15764</v>
      </c>
      <c r="BG24" s="1">
        <v>5920</v>
      </c>
      <c r="BH24" s="1">
        <v>9844</v>
      </c>
      <c r="BI24" s="1">
        <v>5510</v>
      </c>
      <c r="BJ24" s="1">
        <v>2278</v>
      </c>
      <c r="BK24" s="1">
        <v>3232</v>
      </c>
      <c r="BL24" s="1">
        <v>4502</v>
      </c>
      <c r="BM24" s="1">
        <v>1809</v>
      </c>
      <c r="BN24" s="1">
        <v>2693</v>
      </c>
      <c r="BO24" s="1">
        <v>3275</v>
      </c>
      <c r="BP24" s="1">
        <v>1154</v>
      </c>
      <c r="BQ24" s="1">
        <v>2121</v>
      </c>
      <c r="BR24" s="1">
        <v>2477</v>
      </c>
      <c r="BS24" s="1">
        <v>679</v>
      </c>
      <c r="BT24" s="1">
        <v>1798</v>
      </c>
      <c r="BU24" s="1">
        <v>3632</v>
      </c>
      <c r="BV24" s="1">
        <v>23.24</v>
      </c>
      <c r="BW24" s="1">
        <v>17.38</v>
      </c>
      <c r="BX24" s="1">
        <v>2.23</v>
      </c>
      <c r="BY24" s="1">
        <v>600</v>
      </c>
      <c r="BZ24" s="1">
        <v>109</v>
      </c>
      <c r="CA24" s="1">
        <v>299</v>
      </c>
      <c r="CB24" s="1">
        <v>123</v>
      </c>
      <c r="CC24" s="1">
        <v>69</v>
      </c>
      <c r="CD24" s="1">
        <v>8</v>
      </c>
      <c r="CE24" s="1">
        <v>0.37</v>
      </c>
      <c r="CF24" s="1">
        <v>6.04</v>
      </c>
      <c r="CG24" s="1">
        <v>580</v>
      </c>
      <c r="CH24" s="1">
        <v>175</v>
      </c>
      <c r="CI24" s="1">
        <v>405</v>
      </c>
      <c r="CJ24" s="1">
        <v>164</v>
      </c>
      <c r="CK24" s="1">
        <v>51</v>
      </c>
      <c r="CL24" s="1">
        <v>113</v>
      </c>
      <c r="CM24" s="1">
        <v>4402.16</v>
      </c>
      <c r="CN24" s="1">
        <v>117.6</v>
      </c>
    </row>
    <row r="25" spans="1:92" x14ac:dyDescent="0.25">
      <c r="A25">
        <v>1422000</v>
      </c>
      <c r="B25" t="s">
        <v>24</v>
      </c>
      <c r="C25" s="1">
        <v>1225.06</v>
      </c>
      <c r="D25" s="1">
        <v>1153.6099999999999</v>
      </c>
      <c r="E25" s="1">
        <v>8249693.1900000004</v>
      </c>
      <c r="F25" s="1">
        <v>733</v>
      </c>
      <c r="G25" s="1">
        <v>15970</v>
      </c>
      <c r="H25" s="1">
        <v>1</v>
      </c>
      <c r="I25" s="1">
        <v>513.4</v>
      </c>
      <c r="J25" s="1">
        <v>210</v>
      </c>
      <c r="K25" s="1">
        <v>2561</v>
      </c>
      <c r="L25" s="1">
        <v>16.2</v>
      </c>
      <c r="M25" s="1">
        <v>53791</v>
      </c>
      <c r="N25" s="1">
        <v>26783</v>
      </c>
      <c r="O25" s="1">
        <v>27008</v>
      </c>
      <c r="P25" s="1">
        <v>3083</v>
      </c>
      <c r="Q25" s="1">
        <v>1558</v>
      </c>
      <c r="R25" s="1">
        <v>1525</v>
      </c>
      <c r="S25" s="1">
        <v>2975</v>
      </c>
      <c r="T25" s="1">
        <v>1473</v>
      </c>
      <c r="U25" s="1">
        <v>1502</v>
      </c>
      <c r="V25" s="1">
        <v>3161</v>
      </c>
      <c r="W25" s="1">
        <v>1620</v>
      </c>
      <c r="X25" s="1">
        <v>1541</v>
      </c>
      <c r="Y25" s="1">
        <v>3654</v>
      </c>
      <c r="Z25" s="1">
        <v>1842</v>
      </c>
      <c r="AA25" s="1">
        <v>1812</v>
      </c>
      <c r="AB25" s="1">
        <v>4217</v>
      </c>
      <c r="AC25" s="1">
        <v>2214</v>
      </c>
      <c r="AD25" s="1">
        <v>2003</v>
      </c>
      <c r="AE25" s="1">
        <v>4299</v>
      </c>
      <c r="AF25" s="1">
        <v>2264</v>
      </c>
      <c r="AG25" s="1">
        <v>2035</v>
      </c>
      <c r="AH25" s="1">
        <v>3990</v>
      </c>
      <c r="AI25" s="1">
        <v>2133</v>
      </c>
      <c r="AJ25" s="1">
        <v>1857</v>
      </c>
      <c r="AK25" s="1">
        <v>3697</v>
      </c>
      <c r="AL25" s="1">
        <v>1945</v>
      </c>
      <c r="AM25" s="1">
        <v>1752</v>
      </c>
      <c r="AN25" s="1">
        <v>3307</v>
      </c>
      <c r="AO25" s="1">
        <v>1789</v>
      </c>
      <c r="AP25" s="1">
        <v>1518</v>
      </c>
      <c r="AQ25" s="1">
        <v>3483</v>
      </c>
      <c r="AR25" s="1">
        <v>1830</v>
      </c>
      <c r="AS25" s="1">
        <v>1653</v>
      </c>
      <c r="AT25" s="1">
        <v>3816</v>
      </c>
      <c r="AU25" s="1">
        <v>1965</v>
      </c>
      <c r="AV25" s="1">
        <v>1851</v>
      </c>
      <c r="AW25" s="1">
        <v>3820</v>
      </c>
      <c r="AX25" s="1">
        <v>1955</v>
      </c>
      <c r="AY25" s="1">
        <v>1865</v>
      </c>
      <c r="AZ25" s="1">
        <v>3075</v>
      </c>
      <c r="BA25" s="1">
        <v>1524</v>
      </c>
      <c r="BB25" s="1">
        <v>1551</v>
      </c>
      <c r="BC25" s="1">
        <v>1774</v>
      </c>
      <c r="BD25" s="1">
        <v>788</v>
      </c>
      <c r="BE25" s="1">
        <v>986</v>
      </c>
      <c r="BF25" s="1">
        <v>5440</v>
      </c>
      <c r="BG25" s="1">
        <v>1883</v>
      </c>
      <c r="BH25" s="1">
        <v>3557</v>
      </c>
      <c r="BI25" s="1">
        <v>1748</v>
      </c>
      <c r="BJ25" s="1">
        <v>681</v>
      </c>
      <c r="BK25" s="1">
        <v>1067</v>
      </c>
      <c r="BL25" s="1">
        <v>1609</v>
      </c>
      <c r="BM25" s="1">
        <v>572</v>
      </c>
      <c r="BN25" s="1">
        <v>1037</v>
      </c>
      <c r="BO25" s="1">
        <v>1267</v>
      </c>
      <c r="BP25" s="1">
        <v>412</v>
      </c>
      <c r="BQ25" s="1">
        <v>855</v>
      </c>
      <c r="BR25" s="1">
        <v>816</v>
      </c>
      <c r="BS25" s="1">
        <v>218</v>
      </c>
      <c r="BT25" s="1">
        <v>598</v>
      </c>
      <c r="BU25" s="1">
        <v>1377</v>
      </c>
      <c r="BV25" s="1">
        <v>25.55</v>
      </c>
      <c r="BW25" s="1">
        <v>13.69</v>
      </c>
      <c r="BX25" s="1">
        <v>2.95</v>
      </c>
      <c r="BY25" s="1">
        <v>59</v>
      </c>
      <c r="BZ25" s="1">
        <v>11</v>
      </c>
      <c r="CA25" s="1">
        <v>35</v>
      </c>
      <c r="CB25" s="1">
        <v>10</v>
      </c>
      <c r="CC25" s="1">
        <v>3</v>
      </c>
      <c r="CD25" s="1">
        <v>16.8</v>
      </c>
      <c r="CE25" s="1">
        <v>0.04</v>
      </c>
      <c r="CF25" s="1">
        <v>3.82</v>
      </c>
      <c r="CG25" s="1">
        <v>72</v>
      </c>
      <c r="CH25" s="1">
        <v>60</v>
      </c>
      <c r="CI25" s="1">
        <v>12</v>
      </c>
      <c r="CJ25" s="1">
        <v>25</v>
      </c>
      <c r="CK25" s="1">
        <v>21</v>
      </c>
      <c r="CL25" s="1">
        <v>4</v>
      </c>
      <c r="CM25" s="1">
        <v>3203.61</v>
      </c>
      <c r="CN25" s="1">
        <v>85.6</v>
      </c>
    </row>
    <row r="26" spans="1:92" x14ac:dyDescent="0.25">
      <c r="A26">
        <v>1423000</v>
      </c>
      <c r="B26" t="s">
        <v>25</v>
      </c>
      <c r="C26" s="1">
        <v>1394.79</v>
      </c>
      <c r="D26" s="1">
        <v>1386.58</v>
      </c>
      <c r="E26" s="1">
        <v>2299691.88</v>
      </c>
      <c r="F26" s="1">
        <v>1188</v>
      </c>
      <c r="G26" s="1">
        <v>9426</v>
      </c>
      <c r="H26" s="1">
        <v>1</v>
      </c>
      <c r="I26" s="1">
        <v>862.4</v>
      </c>
      <c r="J26" s="1">
        <v>361</v>
      </c>
      <c r="K26" s="1">
        <v>2277</v>
      </c>
      <c r="L26" s="1">
        <v>16.5</v>
      </c>
      <c r="M26" s="1">
        <v>43271</v>
      </c>
      <c r="N26" s="1">
        <v>21482</v>
      </c>
      <c r="O26" s="1">
        <v>21789</v>
      </c>
      <c r="P26" s="1">
        <v>2089</v>
      </c>
      <c r="Q26" s="1">
        <v>1066</v>
      </c>
      <c r="R26" s="1">
        <v>1023</v>
      </c>
      <c r="S26" s="1">
        <v>1975</v>
      </c>
      <c r="T26" s="1">
        <v>993</v>
      </c>
      <c r="U26" s="1">
        <v>982</v>
      </c>
      <c r="V26" s="1">
        <v>2372</v>
      </c>
      <c r="W26" s="1">
        <v>1175</v>
      </c>
      <c r="X26" s="1">
        <v>1197</v>
      </c>
      <c r="Y26" s="1">
        <v>3138</v>
      </c>
      <c r="Z26" s="1">
        <v>1609</v>
      </c>
      <c r="AA26" s="1">
        <v>1529</v>
      </c>
      <c r="AB26" s="1">
        <v>3339</v>
      </c>
      <c r="AC26" s="1">
        <v>1757</v>
      </c>
      <c r="AD26" s="1">
        <v>1582</v>
      </c>
      <c r="AE26" s="1">
        <v>3360</v>
      </c>
      <c r="AF26" s="1">
        <v>1749</v>
      </c>
      <c r="AG26" s="1">
        <v>1611</v>
      </c>
      <c r="AH26" s="1">
        <v>3098</v>
      </c>
      <c r="AI26" s="1">
        <v>1685</v>
      </c>
      <c r="AJ26" s="1">
        <v>1413</v>
      </c>
      <c r="AK26" s="1">
        <v>2843</v>
      </c>
      <c r="AL26" s="1">
        <v>1560</v>
      </c>
      <c r="AM26" s="1">
        <v>1283</v>
      </c>
      <c r="AN26" s="1">
        <v>2646</v>
      </c>
      <c r="AO26" s="1">
        <v>1380</v>
      </c>
      <c r="AP26" s="1">
        <v>1266</v>
      </c>
      <c r="AQ26" s="1">
        <v>2833</v>
      </c>
      <c r="AR26" s="1">
        <v>1487</v>
      </c>
      <c r="AS26" s="1">
        <v>1346</v>
      </c>
      <c r="AT26" s="1">
        <v>3141</v>
      </c>
      <c r="AU26" s="1">
        <v>1661</v>
      </c>
      <c r="AV26" s="1">
        <v>1480</v>
      </c>
      <c r="AW26" s="1">
        <v>2928</v>
      </c>
      <c r="AX26" s="1">
        <v>1576</v>
      </c>
      <c r="AY26" s="1">
        <v>1352</v>
      </c>
      <c r="AZ26" s="1">
        <v>2513</v>
      </c>
      <c r="BA26" s="1">
        <v>1220</v>
      </c>
      <c r="BB26" s="1">
        <v>1293</v>
      </c>
      <c r="BC26" s="1">
        <v>1797</v>
      </c>
      <c r="BD26" s="1">
        <v>781</v>
      </c>
      <c r="BE26" s="1">
        <v>1016</v>
      </c>
      <c r="BF26" s="1">
        <v>5199</v>
      </c>
      <c r="BG26" s="1">
        <v>1783</v>
      </c>
      <c r="BH26" s="1">
        <v>3416</v>
      </c>
      <c r="BI26" s="1">
        <v>1494</v>
      </c>
      <c r="BJ26" s="1">
        <v>583</v>
      </c>
      <c r="BK26" s="1">
        <v>911</v>
      </c>
      <c r="BL26" s="1">
        <v>1634</v>
      </c>
      <c r="BM26" s="1">
        <v>586</v>
      </c>
      <c r="BN26" s="1">
        <v>1048</v>
      </c>
      <c r="BO26" s="1">
        <v>1258</v>
      </c>
      <c r="BP26" s="1">
        <v>405</v>
      </c>
      <c r="BQ26" s="1">
        <v>853</v>
      </c>
      <c r="BR26" s="1">
        <v>813</v>
      </c>
      <c r="BS26" s="1">
        <v>209</v>
      </c>
      <c r="BT26" s="1">
        <v>604</v>
      </c>
      <c r="BU26" s="1">
        <v>741</v>
      </c>
      <c r="BV26" s="1">
        <v>17.09</v>
      </c>
      <c r="BW26" s="1">
        <v>10.98</v>
      </c>
      <c r="BX26" s="1">
        <v>2.08</v>
      </c>
      <c r="BY26" s="1">
        <v>8</v>
      </c>
      <c r="BZ26" s="1">
        <v>3</v>
      </c>
      <c r="CA26" s="1">
        <v>5</v>
      </c>
      <c r="CB26" s="1">
        <v>0</v>
      </c>
      <c r="CC26" s="1">
        <v>0</v>
      </c>
      <c r="CD26" s="1">
        <v>27.8</v>
      </c>
      <c r="CE26" s="1">
        <v>0.01</v>
      </c>
      <c r="CF26" s="1">
        <v>1.92</v>
      </c>
      <c r="CG26" s="1" t="s">
        <v>133</v>
      </c>
      <c r="CH26" s="1" t="s">
        <v>133</v>
      </c>
      <c r="CI26" s="1" t="s">
        <v>133</v>
      </c>
      <c r="CJ26" s="1" t="s">
        <v>133</v>
      </c>
      <c r="CK26" s="1" t="s">
        <v>133</v>
      </c>
      <c r="CL26" s="1" t="s">
        <v>133</v>
      </c>
      <c r="CM26" s="1">
        <v>3062.87</v>
      </c>
      <c r="CN26" s="1">
        <v>81.8</v>
      </c>
    </row>
    <row r="27" spans="1:92" x14ac:dyDescent="0.25">
      <c r="A27">
        <v>1424000</v>
      </c>
      <c r="B27" t="s">
        <v>26</v>
      </c>
      <c r="C27" s="1">
        <v>1076.68</v>
      </c>
      <c r="D27" s="1">
        <v>1118.43</v>
      </c>
      <c r="E27" s="1">
        <v>3605344.47</v>
      </c>
      <c r="F27" s="1">
        <v>935</v>
      </c>
      <c r="G27" s="1">
        <v>9430</v>
      </c>
      <c r="H27" s="1">
        <v>1</v>
      </c>
      <c r="I27" s="1">
        <v>1395.3</v>
      </c>
      <c r="J27" s="1">
        <v>228</v>
      </c>
      <c r="K27" s="1">
        <v>3671</v>
      </c>
      <c r="L27" s="1">
        <v>17.3</v>
      </c>
      <c r="M27" s="1">
        <v>51391</v>
      </c>
      <c r="N27" s="1">
        <v>25436</v>
      </c>
      <c r="O27" s="1">
        <v>25955</v>
      </c>
      <c r="P27" s="1">
        <v>2853</v>
      </c>
      <c r="Q27" s="1">
        <v>1479</v>
      </c>
      <c r="R27" s="1">
        <v>1374</v>
      </c>
      <c r="S27" s="1">
        <v>2698</v>
      </c>
      <c r="T27" s="1">
        <v>1388</v>
      </c>
      <c r="U27" s="1">
        <v>1310</v>
      </c>
      <c r="V27" s="1">
        <v>2877</v>
      </c>
      <c r="W27" s="1">
        <v>1480</v>
      </c>
      <c r="X27" s="1">
        <v>1397</v>
      </c>
      <c r="Y27" s="1">
        <v>3455</v>
      </c>
      <c r="Z27" s="1">
        <v>1710</v>
      </c>
      <c r="AA27" s="1">
        <v>1745</v>
      </c>
      <c r="AB27" s="1">
        <v>3950</v>
      </c>
      <c r="AC27" s="1">
        <v>2025</v>
      </c>
      <c r="AD27" s="1">
        <v>1925</v>
      </c>
      <c r="AE27" s="1">
        <v>4054</v>
      </c>
      <c r="AF27" s="1">
        <v>2090</v>
      </c>
      <c r="AG27" s="1">
        <v>1964</v>
      </c>
      <c r="AH27" s="1">
        <v>4032</v>
      </c>
      <c r="AI27" s="1">
        <v>2097</v>
      </c>
      <c r="AJ27" s="1">
        <v>1935</v>
      </c>
      <c r="AK27" s="1">
        <v>3762</v>
      </c>
      <c r="AL27" s="1">
        <v>1965</v>
      </c>
      <c r="AM27" s="1">
        <v>1797</v>
      </c>
      <c r="AN27" s="1">
        <v>3260</v>
      </c>
      <c r="AO27" s="1">
        <v>1732</v>
      </c>
      <c r="AP27" s="1">
        <v>1528</v>
      </c>
      <c r="AQ27" s="1">
        <v>3101</v>
      </c>
      <c r="AR27" s="1">
        <v>1571</v>
      </c>
      <c r="AS27" s="1">
        <v>1530</v>
      </c>
      <c r="AT27" s="1">
        <v>3644</v>
      </c>
      <c r="AU27" s="1">
        <v>1872</v>
      </c>
      <c r="AV27" s="1">
        <v>1772</v>
      </c>
      <c r="AW27" s="1">
        <v>3674</v>
      </c>
      <c r="AX27" s="1">
        <v>1844</v>
      </c>
      <c r="AY27" s="1">
        <v>1830</v>
      </c>
      <c r="AZ27" s="1">
        <v>3116</v>
      </c>
      <c r="BA27" s="1">
        <v>1474</v>
      </c>
      <c r="BB27" s="1">
        <v>1642</v>
      </c>
      <c r="BC27" s="1">
        <v>1823</v>
      </c>
      <c r="BD27" s="1">
        <v>846</v>
      </c>
      <c r="BE27" s="1">
        <v>977</v>
      </c>
      <c r="BF27" s="1">
        <v>5092</v>
      </c>
      <c r="BG27" s="1">
        <v>1863</v>
      </c>
      <c r="BH27" s="1">
        <v>3229</v>
      </c>
      <c r="BI27" s="1">
        <v>1699</v>
      </c>
      <c r="BJ27" s="1">
        <v>703</v>
      </c>
      <c r="BK27" s="1">
        <v>996</v>
      </c>
      <c r="BL27" s="1">
        <v>1430</v>
      </c>
      <c r="BM27" s="1">
        <v>548</v>
      </c>
      <c r="BN27" s="1">
        <v>882</v>
      </c>
      <c r="BO27" s="1">
        <v>1167</v>
      </c>
      <c r="BP27" s="1">
        <v>381</v>
      </c>
      <c r="BQ27" s="1">
        <v>786</v>
      </c>
      <c r="BR27" s="1">
        <v>796</v>
      </c>
      <c r="BS27" s="1">
        <v>231</v>
      </c>
      <c r="BT27" s="1">
        <v>565</v>
      </c>
      <c r="BU27" s="1">
        <v>1418</v>
      </c>
      <c r="BV27" s="1">
        <v>27.61</v>
      </c>
      <c r="BW27" s="1">
        <v>16.649999999999999</v>
      </c>
      <c r="BX27" s="1">
        <v>1.34</v>
      </c>
      <c r="BY27" s="1">
        <v>101</v>
      </c>
      <c r="BZ27" s="1">
        <v>31</v>
      </c>
      <c r="CA27" s="1">
        <v>52</v>
      </c>
      <c r="CB27" s="1">
        <v>16</v>
      </c>
      <c r="CC27" s="1">
        <v>0</v>
      </c>
      <c r="CD27" s="1">
        <v>23.3</v>
      </c>
      <c r="CE27" s="1">
        <v>0.05</v>
      </c>
      <c r="CF27" s="1">
        <v>5.08</v>
      </c>
      <c r="CG27" s="1">
        <v>2205</v>
      </c>
      <c r="CH27" s="1">
        <v>1555</v>
      </c>
      <c r="CI27" s="1">
        <v>650</v>
      </c>
      <c r="CJ27" s="1">
        <v>1227</v>
      </c>
      <c r="CK27" s="1">
        <v>888</v>
      </c>
      <c r="CL27" s="1">
        <v>339</v>
      </c>
      <c r="CM27" s="1">
        <v>3094.05</v>
      </c>
      <c r="CN27" s="1">
        <v>82.6</v>
      </c>
    </row>
    <row r="28" spans="1:92" x14ac:dyDescent="0.25">
      <c r="A28">
        <v>1425000</v>
      </c>
      <c r="B28" t="s">
        <v>27</v>
      </c>
      <c r="C28" s="1">
        <v>743.63</v>
      </c>
      <c r="D28" s="1">
        <v>752.28</v>
      </c>
      <c r="E28" s="1">
        <v>1298823.97</v>
      </c>
      <c r="F28" s="1">
        <v>477</v>
      </c>
      <c r="G28" s="1">
        <v>6377</v>
      </c>
      <c r="H28" s="1">
        <v>2</v>
      </c>
      <c r="I28" s="1">
        <v>795</v>
      </c>
      <c r="J28" s="1">
        <v>0</v>
      </c>
      <c r="K28" s="1">
        <v>3587</v>
      </c>
      <c r="L28" s="1">
        <v>17.3</v>
      </c>
      <c r="M28" s="1">
        <v>150668</v>
      </c>
      <c r="N28" s="1">
        <v>75045</v>
      </c>
      <c r="O28" s="1">
        <v>75623</v>
      </c>
      <c r="P28" s="1">
        <v>8697</v>
      </c>
      <c r="Q28" s="1">
        <v>4469</v>
      </c>
      <c r="R28" s="1">
        <v>4228</v>
      </c>
      <c r="S28" s="1">
        <v>8429</v>
      </c>
      <c r="T28" s="1">
        <v>4347</v>
      </c>
      <c r="U28" s="1">
        <v>4082</v>
      </c>
      <c r="V28" s="1">
        <v>9091</v>
      </c>
      <c r="W28" s="1">
        <v>4677</v>
      </c>
      <c r="X28" s="1">
        <v>4414</v>
      </c>
      <c r="Y28" s="1">
        <v>10598</v>
      </c>
      <c r="Z28" s="1">
        <v>5443</v>
      </c>
      <c r="AA28" s="1">
        <v>5155</v>
      </c>
      <c r="AB28" s="1">
        <v>11964</v>
      </c>
      <c r="AC28" s="1">
        <v>6160</v>
      </c>
      <c r="AD28" s="1">
        <v>5804</v>
      </c>
      <c r="AE28" s="1">
        <v>12568</v>
      </c>
      <c r="AF28" s="1">
        <v>6553</v>
      </c>
      <c r="AG28" s="1">
        <v>6015</v>
      </c>
      <c r="AH28" s="1">
        <v>12265</v>
      </c>
      <c r="AI28" s="1">
        <v>6472</v>
      </c>
      <c r="AJ28" s="1">
        <v>5793</v>
      </c>
      <c r="AK28" s="1">
        <v>11289</v>
      </c>
      <c r="AL28" s="1">
        <v>5860</v>
      </c>
      <c r="AM28" s="1">
        <v>5429</v>
      </c>
      <c r="AN28" s="1">
        <v>9555</v>
      </c>
      <c r="AO28" s="1">
        <v>4945</v>
      </c>
      <c r="AP28" s="1">
        <v>4610</v>
      </c>
      <c r="AQ28" s="1">
        <v>9132</v>
      </c>
      <c r="AR28" s="1">
        <v>4667</v>
      </c>
      <c r="AS28" s="1">
        <v>4465</v>
      </c>
      <c r="AT28" s="1">
        <v>10141</v>
      </c>
      <c r="AU28" s="1">
        <v>5189</v>
      </c>
      <c r="AV28" s="1">
        <v>4952</v>
      </c>
      <c r="AW28" s="1">
        <v>10556</v>
      </c>
      <c r="AX28" s="1">
        <v>5277</v>
      </c>
      <c r="AY28" s="1">
        <v>5279</v>
      </c>
      <c r="AZ28" s="1">
        <v>8268</v>
      </c>
      <c r="BA28" s="1">
        <v>4053</v>
      </c>
      <c r="BB28" s="1">
        <v>4215</v>
      </c>
      <c r="BC28" s="1">
        <v>5305</v>
      </c>
      <c r="BD28" s="1">
        <v>2405</v>
      </c>
      <c r="BE28" s="1">
        <v>2900</v>
      </c>
      <c r="BF28" s="1">
        <v>12810</v>
      </c>
      <c r="BG28" s="1">
        <v>4528</v>
      </c>
      <c r="BH28" s="1">
        <v>8282</v>
      </c>
      <c r="BI28" s="1">
        <v>3922</v>
      </c>
      <c r="BJ28" s="1">
        <v>1598</v>
      </c>
      <c r="BK28" s="1">
        <v>2324</v>
      </c>
      <c r="BL28" s="1">
        <v>3694</v>
      </c>
      <c r="BM28" s="1">
        <v>1397</v>
      </c>
      <c r="BN28" s="1">
        <v>2297</v>
      </c>
      <c r="BO28" s="1">
        <v>3024</v>
      </c>
      <c r="BP28" s="1">
        <v>980</v>
      </c>
      <c r="BQ28" s="1">
        <v>2044</v>
      </c>
      <c r="BR28" s="1">
        <v>2170</v>
      </c>
      <c r="BS28" s="1">
        <v>553</v>
      </c>
      <c r="BT28" s="1">
        <v>1617</v>
      </c>
      <c r="BU28" s="1">
        <v>8798</v>
      </c>
      <c r="BV28" s="1">
        <v>58.53</v>
      </c>
      <c r="BW28" s="1">
        <v>39.409999999999997</v>
      </c>
      <c r="BX28" s="1">
        <v>4.47</v>
      </c>
      <c r="BY28" s="1">
        <v>29</v>
      </c>
      <c r="BZ28" s="1">
        <v>8</v>
      </c>
      <c r="CA28" s="1">
        <v>18</v>
      </c>
      <c r="CB28" s="1">
        <v>0</v>
      </c>
      <c r="CC28" s="1">
        <v>0</v>
      </c>
      <c r="CD28" s="1">
        <v>30.3</v>
      </c>
      <c r="CE28" s="1">
        <v>0.1</v>
      </c>
      <c r="CF28" s="1">
        <v>4.0599999999999996</v>
      </c>
      <c r="CG28" s="1" t="s">
        <v>133</v>
      </c>
      <c r="CH28" s="1" t="s">
        <v>133</v>
      </c>
      <c r="CI28" s="1" t="s">
        <v>133</v>
      </c>
      <c r="CJ28" s="1" t="s">
        <v>133</v>
      </c>
      <c r="CK28" s="1" t="s">
        <v>133</v>
      </c>
      <c r="CL28" s="1" t="s">
        <v>133</v>
      </c>
      <c r="CM28" s="1">
        <v>2857.68</v>
      </c>
      <c r="CN28" s="1">
        <v>76.3</v>
      </c>
    </row>
    <row r="29" spans="1:92" x14ac:dyDescent="0.25">
      <c r="A29">
        <v>1426000</v>
      </c>
      <c r="B29" t="s">
        <v>28</v>
      </c>
      <c r="C29" s="1">
        <v>486.79</v>
      </c>
      <c r="D29" s="1">
        <v>490.94</v>
      </c>
      <c r="E29" s="1">
        <v>416272.49</v>
      </c>
      <c r="F29" s="1">
        <v>1757</v>
      </c>
      <c r="G29" s="1">
        <v>7960</v>
      </c>
      <c r="H29" s="1">
        <v>1</v>
      </c>
      <c r="I29" s="1">
        <v>78.3</v>
      </c>
      <c r="J29" s="1">
        <v>0</v>
      </c>
      <c r="K29" s="1">
        <v>2156</v>
      </c>
      <c r="L29" s="1">
        <v>20.5</v>
      </c>
      <c r="M29" s="1">
        <v>81924</v>
      </c>
      <c r="N29" s="1">
        <v>41186</v>
      </c>
      <c r="O29" s="1">
        <v>40738</v>
      </c>
      <c r="P29" s="1">
        <v>4689</v>
      </c>
      <c r="Q29" s="1">
        <v>2369</v>
      </c>
      <c r="R29" s="1">
        <v>2320</v>
      </c>
      <c r="S29" s="1">
        <v>4391</v>
      </c>
      <c r="T29" s="1">
        <v>2267</v>
      </c>
      <c r="U29" s="1">
        <v>2124</v>
      </c>
      <c r="V29" s="1">
        <v>4830</v>
      </c>
      <c r="W29" s="1">
        <v>2477</v>
      </c>
      <c r="X29" s="1">
        <v>2353</v>
      </c>
      <c r="Y29" s="1">
        <v>5983</v>
      </c>
      <c r="Z29" s="1">
        <v>3076</v>
      </c>
      <c r="AA29" s="1">
        <v>2907</v>
      </c>
      <c r="AB29" s="1">
        <v>6674</v>
      </c>
      <c r="AC29" s="1">
        <v>3469</v>
      </c>
      <c r="AD29" s="1">
        <v>3205</v>
      </c>
      <c r="AE29" s="1">
        <v>6541</v>
      </c>
      <c r="AF29" s="1">
        <v>3446</v>
      </c>
      <c r="AG29" s="1">
        <v>3095</v>
      </c>
      <c r="AH29" s="1">
        <v>6093</v>
      </c>
      <c r="AI29" s="1">
        <v>3225</v>
      </c>
      <c r="AJ29" s="1">
        <v>2868</v>
      </c>
      <c r="AK29" s="1">
        <v>5603</v>
      </c>
      <c r="AL29" s="1">
        <v>2949</v>
      </c>
      <c r="AM29" s="1">
        <v>2654</v>
      </c>
      <c r="AN29" s="1">
        <v>5177</v>
      </c>
      <c r="AO29" s="1">
        <v>2740</v>
      </c>
      <c r="AP29" s="1">
        <v>2437</v>
      </c>
      <c r="AQ29" s="1">
        <v>5204</v>
      </c>
      <c r="AR29" s="1">
        <v>2757</v>
      </c>
      <c r="AS29" s="1">
        <v>2447</v>
      </c>
      <c r="AT29" s="1">
        <v>5208</v>
      </c>
      <c r="AU29" s="1">
        <v>2781</v>
      </c>
      <c r="AV29" s="1">
        <v>2427</v>
      </c>
      <c r="AW29" s="1">
        <v>5205</v>
      </c>
      <c r="AX29" s="1">
        <v>2764</v>
      </c>
      <c r="AY29" s="1">
        <v>2441</v>
      </c>
      <c r="AZ29" s="1">
        <v>4389</v>
      </c>
      <c r="BA29" s="1">
        <v>2160</v>
      </c>
      <c r="BB29" s="1">
        <v>2229</v>
      </c>
      <c r="BC29" s="1">
        <v>3017</v>
      </c>
      <c r="BD29" s="1">
        <v>1324</v>
      </c>
      <c r="BE29" s="1">
        <v>1693</v>
      </c>
      <c r="BF29" s="1">
        <v>8920</v>
      </c>
      <c r="BG29" s="1">
        <v>3382</v>
      </c>
      <c r="BH29" s="1">
        <v>5538</v>
      </c>
      <c r="BI29" s="1">
        <v>2620</v>
      </c>
      <c r="BJ29" s="1">
        <v>1133</v>
      </c>
      <c r="BK29" s="1">
        <v>1487</v>
      </c>
      <c r="BL29" s="1">
        <v>2505</v>
      </c>
      <c r="BM29" s="1">
        <v>1000</v>
      </c>
      <c r="BN29" s="1">
        <v>1505</v>
      </c>
      <c r="BO29" s="1">
        <v>2137</v>
      </c>
      <c r="BP29" s="1">
        <v>765</v>
      </c>
      <c r="BQ29" s="1">
        <v>1372</v>
      </c>
      <c r="BR29" s="1">
        <v>1658</v>
      </c>
      <c r="BS29" s="1">
        <v>484</v>
      </c>
      <c r="BT29" s="1">
        <v>1174</v>
      </c>
      <c r="BU29" s="1">
        <v>3313</v>
      </c>
      <c r="BV29" s="1">
        <v>40.450000000000003</v>
      </c>
      <c r="BW29" s="1">
        <v>26.51</v>
      </c>
      <c r="BX29" s="1">
        <v>4.3499999999999996</v>
      </c>
      <c r="BY29" s="1">
        <v>8</v>
      </c>
      <c r="BZ29" s="1">
        <v>0</v>
      </c>
      <c r="CA29" s="1">
        <v>3</v>
      </c>
      <c r="CB29" s="1">
        <v>0</v>
      </c>
      <c r="CC29" s="1">
        <v>3</v>
      </c>
      <c r="CD29" s="1">
        <v>11.9</v>
      </c>
      <c r="CE29" s="1">
        <v>7.0000000000000007E-2</v>
      </c>
      <c r="CF29" s="1">
        <v>5.05</v>
      </c>
      <c r="CG29" s="1">
        <v>53</v>
      </c>
      <c r="CH29" s="1">
        <v>0</v>
      </c>
      <c r="CI29" s="1">
        <v>53</v>
      </c>
      <c r="CJ29" s="1">
        <v>10</v>
      </c>
      <c r="CK29" s="1">
        <v>0</v>
      </c>
      <c r="CL29" s="1">
        <v>10</v>
      </c>
      <c r="CM29" s="1">
        <v>3014.41</v>
      </c>
      <c r="CN29" s="1">
        <v>80.5</v>
      </c>
    </row>
    <row r="30" spans="1:92" x14ac:dyDescent="0.25">
      <c r="A30">
        <v>1427000</v>
      </c>
      <c r="B30" t="s">
        <v>29</v>
      </c>
      <c r="C30" s="1">
        <v>1019.62</v>
      </c>
      <c r="D30" s="1">
        <v>954.17</v>
      </c>
      <c r="E30" s="1">
        <v>771908.09</v>
      </c>
      <c r="F30" s="1">
        <v>1262</v>
      </c>
      <c r="G30" s="1">
        <v>13445</v>
      </c>
      <c r="H30" s="1">
        <v>1</v>
      </c>
      <c r="I30" s="1">
        <v>9699.9</v>
      </c>
      <c r="J30" s="1">
        <v>180</v>
      </c>
      <c r="K30" s="1">
        <v>2818</v>
      </c>
      <c r="L30" s="1">
        <v>18.5</v>
      </c>
      <c r="M30" s="1">
        <v>53540</v>
      </c>
      <c r="N30" s="1">
        <v>26311</v>
      </c>
      <c r="O30" s="1">
        <v>27229</v>
      </c>
      <c r="P30" s="1">
        <v>2808</v>
      </c>
      <c r="Q30" s="1">
        <v>1403</v>
      </c>
      <c r="R30" s="1">
        <v>1405</v>
      </c>
      <c r="S30" s="1">
        <v>2661</v>
      </c>
      <c r="T30" s="1">
        <v>1374</v>
      </c>
      <c r="U30" s="1">
        <v>1287</v>
      </c>
      <c r="V30" s="1">
        <v>3133</v>
      </c>
      <c r="W30" s="1">
        <v>1612</v>
      </c>
      <c r="X30" s="1">
        <v>1521</v>
      </c>
      <c r="Y30" s="1">
        <v>3759</v>
      </c>
      <c r="Z30" s="1">
        <v>1956</v>
      </c>
      <c r="AA30" s="1">
        <v>1803</v>
      </c>
      <c r="AB30" s="1">
        <v>4219</v>
      </c>
      <c r="AC30" s="1">
        <v>2136</v>
      </c>
      <c r="AD30" s="1">
        <v>2083</v>
      </c>
      <c r="AE30" s="1">
        <v>4115</v>
      </c>
      <c r="AF30" s="1">
        <v>2164</v>
      </c>
      <c r="AG30" s="1">
        <v>1951</v>
      </c>
      <c r="AH30" s="1">
        <v>3962</v>
      </c>
      <c r="AI30" s="1">
        <v>2045</v>
      </c>
      <c r="AJ30" s="1">
        <v>1917</v>
      </c>
      <c r="AK30" s="1">
        <v>3635</v>
      </c>
      <c r="AL30" s="1">
        <v>1937</v>
      </c>
      <c r="AM30" s="1">
        <v>1698</v>
      </c>
      <c r="AN30" s="1">
        <v>3549</v>
      </c>
      <c r="AO30" s="1">
        <v>1808</v>
      </c>
      <c r="AP30" s="1">
        <v>1741</v>
      </c>
      <c r="AQ30" s="1">
        <v>3529</v>
      </c>
      <c r="AR30" s="1">
        <v>1796</v>
      </c>
      <c r="AS30" s="1">
        <v>1733</v>
      </c>
      <c r="AT30" s="1">
        <v>3887</v>
      </c>
      <c r="AU30" s="1">
        <v>2013</v>
      </c>
      <c r="AV30" s="1">
        <v>1874</v>
      </c>
      <c r="AW30" s="1">
        <v>3732</v>
      </c>
      <c r="AX30" s="1">
        <v>1884</v>
      </c>
      <c r="AY30" s="1">
        <v>1848</v>
      </c>
      <c r="AZ30" s="1">
        <v>3186</v>
      </c>
      <c r="BA30" s="1">
        <v>1502</v>
      </c>
      <c r="BB30" s="1">
        <v>1684</v>
      </c>
      <c r="BC30" s="1">
        <v>1939</v>
      </c>
      <c r="BD30" s="1">
        <v>826</v>
      </c>
      <c r="BE30" s="1">
        <v>1113</v>
      </c>
      <c r="BF30" s="1">
        <v>5426</v>
      </c>
      <c r="BG30" s="1">
        <v>1855</v>
      </c>
      <c r="BH30" s="1">
        <v>3571</v>
      </c>
      <c r="BI30" s="1">
        <v>1795</v>
      </c>
      <c r="BJ30" s="1">
        <v>703</v>
      </c>
      <c r="BK30" s="1">
        <v>1092</v>
      </c>
      <c r="BL30" s="1">
        <v>1537</v>
      </c>
      <c r="BM30" s="1">
        <v>543</v>
      </c>
      <c r="BN30" s="1">
        <v>994</v>
      </c>
      <c r="BO30" s="1">
        <v>1262</v>
      </c>
      <c r="BP30" s="1">
        <v>400</v>
      </c>
      <c r="BQ30" s="1">
        <v>862</v>
      </c>
      <c r="BR30" s="1">
        <v>832</v>
      </c>
      <c r="BS30" s="1">
        <v>209</v>
      </c>
      <c r="BT30" s="1">
        <v>623</v>
      </c>
      <c r="BU30" s="1">
        <v>1665</v>
      </c>
      <c r="BV30" s="1">
        <v>31.04</v>
      </c>
      <c r="BW30" s="1">
        <v>8.69</v>
      </c>
      <c r="BX30" s="1">
        <v>11.65</v>
      </c>
      <c r="BY30" s="1">
        <v>27</v>
      </c>
      <c r="BZ30" s="1">
        <v>9</v>
      </c>
      <c r="CA30" s="1">
        <v>18</v>
      </c>
      <c r="CB30" s="1">
        <v>0</v>
      </c>
      <c r="CC30" s="1">
        <v>0</v>
      </c>
      <c r="CD30" s="1">
        <v>25</v>
      </c>
      <c r="CE30" s="1">
        <v>7.0000000000000007E-2</v>
      </c>
      <c r="CF30" s="1">
        <v>7.04</v>
      </c>
      <c r="CG30" s="1" t="s">
        <v>133</v>
      </c>
      <c r="CH30" s="1" t="s">
        <v>133</v>
      </c>
      <c r="CI30" s="1" t="s">
        <v>133</v>
      </c>
      <c r="CJ30" s="1" t="s">
        <v>133</v>
      </c>
      <c r="CK30" s="1" t="s">
        <v>133</v>
      </c>
      <c r="CL30" s="1" t="s">
        <v>133</v>
      </c>
      <c r="CM30" s="1">
        <v>3043.46</v>
      </c>
      <c r="CN30" s="1">
        <v>81.3</v>
      </c>
    </row>
    <row r="31" spans="1:92" x14ac:dyDescent="0.25">
      <c r="A31">
        <v>1428000</v>
      </c>
      <c r="B31" t="s">
        <v>30</v>
      </c>
      <c r="C31" s="1">
        <v>889.64</v>
      </c>
      <c r="D31" s="1">
        <v>901.49</v>
      </c>
      <c r="E31" s="1">
        <v>4100856.33</v>
      </c>
      <c r="F31" s="1">
        <v>2754</v>
      </c>
      <c r="G31" s="1">
        <v>30519</v>
      </c>
      <c r="H31" s="1">
        <v>4</v>
      </c>
      <c r="I31" s="1">
        <v>24482.6</v>
      </c>
      <c r="J31" s="1">
        <v>312</v>
      </c>
      <c r="K31" s="1">
        <v>4055</v>
      </c>
      <c r="L31" s="1">
        <v>19.3</v>
      </c>
      <c r="M31" s="1">
        <v>85162</v>
      </c>
      <c r="N31" s="1">
        <v>41402</v>
      </c>
      <c r="O31" s="1">
        <v>43760</v>
      </c>
      <c r="P31" s="1">
        <v>4699</v>
      </c>
      <c r="Q31" s="1">
        <v>2385</v>
      </c>
      <c r="R31" s="1">
        <v>2314</v>
      </c>
      <c r="S31" s="1">
        <v>4288</v>
      </c>
      <c r="T31" s="1">
        <v>2205</v>
      </c>
      <c r="U31" s="1">
        <v>2083</v>
      </c>
      <c r="V31" s="1">
        <v>4361</v>
      </c>
      <c r="W31" s="1">
        <v>2214</v>
      </c>
      <c r="X31" s="1">
        <v>2147</v>
      </c>
      <c r="Y31" s="1">
        <v>5145</v>
      </c>
      <c r="Z31" s="1">
        <v>2579</v>
      </c>
      <c r="AA31" s="1">
        <v>2566</v>
      </c>
      <c r="AB31" s="1">
        <v>6125</v>
      </c>
      <c r="AC31" s="1">
        <v>3101</v>
      </c>
      <c r="AD31" s="1">
        <v>3024</v>
      </c>
      <c r="AE31" s="1">
        <v>6812</v>
      </c>
      <c r="AF31" s="1">
        <v>3506</v>
      </c>
      <c r="AG31" s="1">
        <v>3306</v>
      </c>
      <c r="AH31" s="1">
        <v>6935</v>
      </c>
      <c r="AI31" s="1">
        <v>3537</v>
      </c>
      <c r="AJ31" s="1">
        <v>3398</v>
      </c>
      <c r="AK31" s="1">
        <v>6402</v>
      </c>
      <c r="AL31" s="1">
        <v>3322</v>
      </c>
      <c r="AM31" s="1">
        <v>3080</v>
      </c>
      <c r="AN31" s="1">
        <v>5376</v>
      </c>
      <c r="AO31" s="1">
        <v>2745</v>
      </c>
      <c r="AP31" s="1">
        <v>2631</v>
      </c>
      <c r="AQ31" s="1">
        <v>5282</v>
      </c>
      <c r="AR31" s="1">
        <v>2651</v>
      </c>
      <c r="AS31" s="1">
        <v>2631</v>
      </c>
      <c r="AT31" s="1">
        <v>6214</v>
      </c>
      <c r="AU31" s="1">
        <v>3061</v>
      </c>
      <c r="AV31" s="1">
        <v>3153</v>
      </c>
      <c r="AW31" s="1">
        <v>6568</v>
      </c>
      <c r="AX31" s="1">
        <v>3155</v>
      </c>
      <c r="AY31" s="1">
        <v>3413</v>
      </c>
      <c r="AZ31" s="1">
        <v>5216</v>
      </c>
      <c r="BA31" s="1">
        <v>2403</v>
      </c>
      <c r="BB31" s="1">
        <v>2813</v>
      </c>
      <c r="BC31" s="1">
        <v>3449</v>
      </c>
      <c r="BD31" s="1">
        <v>1543</v>
      </c>
      <c r="BE31" s="1">
        <v>1906</v>
      </c>
      <c r="BF31" s="1">
        <v>8290</v>
      </c>
      <c r="BG31" s="1">
        <v>2995</v>
      </c>
      <c r="BH31" s="1">
        <v>5295</v>
      </c>
      <c r="BI31" s="1">
        <v>2666</v>
      </c>
      <c r="BJ31" s="1">
        <v>1076</v>
      </c>
      <c r="BK31" s="1">
        <v>1590</v>
      </c>
      <c r="BL31" s="1">
        <v>2384</v>
      </c>
      <c r="BM31" s="1">
        <v>894</v>
      </c>
      <c r="BN31" s="1">
        <v>1490</v>
      </c>
      <c r="BO31" s="1">
        <v>1919</v>
      </c>
      <c r="BP31" s="1">
        <v>651</v>
      </c>
      <c r="BQ31" s="1">
        <v>1268</v>
      </c>
      <c r="BR31" s="1">
        <v>1321</v>
      </c>
      <c r="BS31" s="1">
        <v>374</v>
      </c>
      <c r="BT31" s="1">
        <v>947</v>
      </c>
      <c r="BU31" s="1">
        <v>2478</v>
      </c>
      <c r="BV31" s="1">
        <v>29.11</v>
      </c>
      <c r="BW31" s="1">
        <v>17.670000000000002</v>
      </c>
      <c r="BX31" s="1">
        <v>5.65</v>
      </c>
      <c r="BY31" s="1">
        <v>58</v>
      </c>
      <c r="BZ31" s="1">
        <v>19</v>
      </c>
      <c r="CA31" s="1">
        <v>25</v>
      </c>
      <c r="CB31" s="1">
        <v>13</v>
      </c>
      <c r="CC31" s="1">
        <v>0</v>
      </c>
      <c r="CD31" s="1">
        <v>11.5</v>
      </c>
      <c r="CE31" s="1">
        <v>0.2</v>
      </c>
      <c r="CF31" s="1">
        <v>7.76</v>
      </c>
      <c r="CG31" s="1">
        <v>382</v>
      </c>
      <c r="CH31" s="1">
        <v>190</v>
      </c>
      <c r="CI31" s="1">
        <v>192</v>
      </c>
      <c r="CJ31" s="1">
        <v>99</v>
      </c>
      <c r="CK31" s="1">
        <v>59</v>
      </c>
      <c r="CL31" s="1">
        <v>40</v>
      </c>
      <c r="CM31" s="1">
        <v>3740.62</v>
      </c>
      <c r="CN31" s="1">
        <v>99.9</v>
      </c>
    </row>
    <row r="32" spans="1:92" x14ac:dyDescent="0.25">
      <c r="A32">
        <v>1429000</v>
      </c>
      <c r="B32" t="s">
        <v>31</v>
      </c>
      <c r="C32" s="1">
        <v>1073.1199999999999</v>
      </c>
      <c r="D32" s="1">
        <v>1036.8499999999999</v>
      </c>
      <c r="E32" s="1">
        <v>9117542.8200000003</v>
      </c>
      <c r="F32" s="1">
        <v>2905</v>
      </c>
      <c r="G32" s="1">
        <v>29051</v>
      </c>
      <c r="H32" s="1">
        <v>1</v>
      </c>
      <c r="I32" s="1">
        <v>9155.4</v>
      </c>
      <c r="J32" s="1">
        <v>155</v>
      </c>
      <c r="K32" s="1">
        <v>2961</v>
      </c>
      <c r="L32" s="1">
        <v>14.8</v>
      </c>
      <c r="M32" s="1">
        <v>56264</v>
      </c>
      <c r="N32" s="1">
        <v>27882</v>
      </c>
      <c r="O32" s="1">
        <v>28382</v>
      </c>
      <c r="P32" s="1">
        <v>2823</v>
      </c>
      <c r="Q32" s="1">
        <v>1415</v>
      </c>
      <c r="R32" s="1">
        <v>1408</v>
      </c>
      <c r="S32" s="1">
        <v>2551</v>
      </c>
      <c r="T32" s="1">
        <v>1334</v>
      </c>
      <c r="U32" s="1">
        <v>1217</v>
      </c>
      <c r="V32" s="1">
        <v>2906</v>
      </c>
      <c r="W32" s="1">
        <v>1442</v>
      </c>
      <c r="X32" s="1">
        <v>1464</v>
      </c>
      <c r="Y32" s="1">
        <v>3647</v>
      </c>
      <c r="Z32" s="1">
        <v>1926</v>
      </c>
      <c r="AA32" s="1">
        <v>1721</v>
      </c>
      <c r="AB32" s="1">
        <v>4262</v>
      </c>
      <c r="AC32" s="1">
        <v>2148</v>
      </c>
      <c r="AD32" s="1">
        <v>2114</v>
      </c>
      <c r="AE32" s="1">
        <v>4306</v>
      </c>
      <c r="AF32" s="1">
        <v>2316</v>
      </c>
      <c r="AG32" s="1">
        <v>1990</v>
      </c>
      <c r="AH32" s="1">
        <v>3970</v>
      </c>
      <c r="AI32" s="1">
        <v>2164</v>
      </c>
      <c r="AJ32" s="1">
        <v>1806</v>
      </c>
      <c r="AK32" s="1">
        <v>3687</v>
      </c>
      <c r="AL32" s="1">
        <v>1992</v>
      </c>
      <c r="AM32" s="1">
        <v>1695</v>
      </c>
      <c r="AN32" s="1">
        <v>3418</v>
      </c>
      <c r="AO32" s="1">
        <v>1748</v>
      </c>
      <c r="AP32" s="1">
        <v>1670</v>
      </c>
      <c r="AQ32" s="1">
        <v>3482</v>
      </c>
      <c r="AR32" s="1">
        <v>1737</v>
      </c>
      <c r="AS32" s="1">
        <v>1745</v>
      </c>
      <c r="AT32" s="1">
        <v>4033</v>
      </c>
      <c r="AU32" s="1">
        <v>2103</v>
      </c>
      <c r="AV32" s="1">
        <v>1930</v>
      </c>
      <c r="AW32" s="1">
        <v>4302</v>
      </c>
      <c r="AX32" s="1">
        <v>2172</v>
      </c>
      <c r="AY32" s="1">
        <v>2130</v>
      </c>
      <c r="AZ32" s="1">
        <v>3519</v>
      </c>
      <c r="BA32" s="1">
        <v>1687</v>
      </c>
      <c r="BB32" s="1">
        <v>1832</v>
      </c>
      <c r="BC32" s="1">
        <v>2427</v>
      </c>
      <c r="BD32" s="1">
        <v>1120</v>
      </c>
      <c r="BE32" s="1">
        <v>1307</v>
      </c>
      <c r="BF32" s="1">
        <v>6931</v>
      </c>
      <c r="BG32" s="1">
        <v>2578</v>
      </c>
      <c r="BH32" s="1">
        <v>4353</v>
      </c>
      <c r="BI32" s="1">
        <v>1898</v>
      </c>
      <c r="BJ32" s="1">
        <v>804</v>
      </c>
      <c r="BK32" s="1">
        <v>1094</v>
      </c>
      <c r="BL32" s="1">
        <v>2009</v>
      </c>
      <c r="BM32" s="1">
        <v>768</v>
      </c>
      <c r="BN32" s="1">
        <v>1241</v>
      </c>
      <c r="BO32" s="1">
        <v>1729</v>
      </c>
      <c r="BP32" s="1">
        <v>633</v>
      </c>
      <c r="BQ32" s="1">
        <v>1096</v>
      </c>
      <c r="BR32" s="1">
        <v>1295</v>
      </c>
      <c r="BS32" s="1">
        <v>373</v>
      </c>
      <c r="BT32" s="1">
        <v>922</v>
      </c>
      <c r="BU32" s="1">
        <v>1333</v>
      </c>
      <c r="BV32" s="1">
        <v>23.61</v>
      </c>
      <c r="BW32" s="1">
        <v>14.56</v>
      </c>
      <c r="BX32" s="1">
        <v>2.29</v>
      </c>
      <c r="BY32" s="1">
        <v>32</v>
      </c>
      <c r="BZ32" s="1">
        <v>11</v>
      </c>
      <c r="CA32" s="1">
        <v>15</v>
      </c>
      <c r="CB32" s="1">
        <v>5</v>
      </c>
      <c r="CC32" s="1">
        <v>0</v>
      </c>
      <c r="CD32" s="1">
        <v>11.6</v>
      </c>
      <c r="CE32" s="1">
        <v>0.24</v>
      </c>
      <c r="CF32" s="1">
        <v>16.690000000000001</v>
      </c>
      <c r="CG32" s="1" t="s">
        <v>133</v>
      </c>
      <c r="CH32" s="1" t="s">
        <v>133</v>
      </c>
      <c r="CI32" s="1" t="s">
        <v>133</v>
      </c>
      <c r="CJ32" s="1" t="s">
        <v>133</v>
      </c>
      <c r="CK32" s="1" t="s">
        <v>133</v>
      </c>
      <c r="CL32" s="1" t="s">
        <v>133</v>
      </c>
      <c r="CM32" s="1">
        <v>2974.75</v>
      </c>
      <c r="CN32" s="1">
        <v>79.400000000000006</v>
      </c>
    </row>
    <row r="33" spans="1:92" x14ac:dyDescent="0.25">
      <c r="A33">
        <v>1430000</v>
      </c>
      <c r="B33" t="s">
        <v>32</v>
      </c>
      <c r="C33" s="1">
        <v>844.53</v>
      </c>
      <c r="D33" s="1">
        <v>828.8</v>
      </c>
      <c r="E33" s="1">
        <v>628997.32999999996</v>
      </c>
      <c r="F33" s="1">
        <v>1692</v>
      </c>
      <c r="G33" s="1">
        <v>6081</v>
      </c>
      <c r="H33" s="1">
        <v>2</v>
      </c>
      <c r="I33" s="1">
        <v>3760.8</v>
      </c>
      <c r="J33" s="1">
        <v>0</v>
      </c>
      <c r="K33" s="1">
        <v>2709</v>
      </c>
      <c r="L33" s="1">
        <v>17.899999999999999</v>
      </c>
      <c r="M33" s="1">
        <v>40638</v>
      </c>
      <c r="N33" s="1">
        <v>20240</v>
      </c>
      <c r="O33" s="1">
        <v>20398</v>
      </c>
      <c r="P33" s="1">
        <v>2204</v>
      </c>
      <c r="Q33" s="1">
        <v>1148</v>
      </c>
      <c r="R33" s="1">
        <v>1056</v>
      </c>
      <c r="S33" s="1">
        <v>2034</v>
      </c>
      <c r="T33" s="1">
        <v>1061</v>
      </c>
      <c r="U33" s="1">
        <v>973</v>
      </c>
      <c r="V33" s="1">
        <v>2347</v>
      </c>
      <c r="W33" s="1">
        <v>1217</v>
      </c>
      <c r="X33" s="1">
        <v>1130</v>
      </c>
      <c r="Y33" s="1">
        <v>2685</v>
      </c>
      <c r="Z33" s="1">
        <v>1387</v>
      </c>
      <c r="AA33" s="1">
        <v>1298</v>
      </c>
      <c r="AB33" s="1">
        <v>3042</v>
      </c>
      <c r="AC33" s="1">
        <v>1585</v>
      </c>
      <c r="AD33" s="1">
        <v>1457</v>
      </c>
      <c r="AE33" s="1">
        <v>3418</v>
      </c>
      <c r="AF33" s="1">
        <v>1810</v>
      </c>
      <c r="AG33" s="1">
        <v>1608</v>
      </c>
      <c r="AH33" s="1">
        <v>3208</v>
      </c>
      <c r="AI33" s="1">
        <v>1727</v>
      </c>
      <c r="AJ33" s="1">
        <v>1481</v>
      </c>
      <c r="AK33" s="1">
        <v>3086</v>
      </c>
      <c r="AL33" s="1">
        <v>1602</v>
      </c>
      <c r="AM33" s="1">
        <v>1484</v>
      </c>
      <c r="AN33" s="1">
        <v>2477</v>
      </c>
      <c r="AO33" s="1">
        <v>1288</v>
      </c>
      <c r="AP33" s="1">
        <v>1189</v>
      </c>
      <c r="AQ33" s="1">
        <v>2369</v>
      </c>
      <c r="AR33" s="1">
        <v>1215</v>
      </c>
      <c r="AS33" s="1">
        <v>1154</v>
      </c>
      <c r="AT33" s="1">
        <v>2854</v>
      </c>
      <c r="AU33" s="1">
        <v>1522</v>
      </c>
      <c r="AV33" s="1">
        <v>1332</v>
      </c>
      <c r="AW33" s="1">
        <v>2971</v>
      </c>
      <c r="AX33" s="1">
        <v>1505</v>
      </c>
      <c r="AY33" s="1">
        <v>1466</v>
      </c>
      <c r="AZ33" s="1">
        <v>2374</v>
      </c>
      <c r="BA33" s="1">
        <v>1122</v>
      </c>
      <c r="BB33" s="1">
        <v>1252</v>
      </c>
      <c r="BC33" s="1">
        <v>1521</v>
      </c>
      <c r="BD33" s="1">
        <v>710</v>
      </c>
      <c r="BE33" s="1">
        <v>811</v>
      </c>
      <c r="BF33" s="1">
        <v>4048</v>
      </c>
      <c r="BG33" s="1">
        <v>1341</v>
      </c>
      <c r="BH33" s="1">
        <v>2707</v>
      </c>
      <c r="BI33" s="1">
        <v>1165</v>
      </c>
      <c r="BJ33" s="1">
        <v>437</v>
      </c>
      <c r="BK33" s="1">
        <v>728</v>
      </c>
      <c r="BL33" s="1">
        <v>1251</v>
      </c>
      <c r="BM33" s="1">
        <v>435</v>
      </c>
      <c r="BN33" s="1">
        <v>816</v>
      </c>
      <c r="BO33" s="1">
        <v>946</v>
      </c>
      <c r="BP33" s="1">
        <v>296</v>
      </c>
      <c r="BQ33" s="1">
        <v>650</v>
      </c>
      <c r="BR33" s="1">
        <v>686</v>
      </c>
      <c r="BS33" s="1">
        <v>173</v>
      </c>
      <c r="BT33" s="1">
        <v>513</v>
      </c>
      <c r="BU33" s="1">
        <v>824</v>
      </c>
      <c r="BV33" s="1">
        <v>20.239999999999998</v>
      </c>
      <c r="BW33" s="1">
        <v>9.68</v>
      </c>
      <c r="BX33" s="1">
        <v>1.82</v>
      </c>
      <c r="BY33" s="1">
        <v>22</v>
      </c>
      <c r="BZ33" s="1">
        <v>8</v>
      </c>
      <c r="CA33" s="1">
        <v>12</v>
      </c>
      <c r="CB33" s="1">
        <v>0</v>
      </c>
      <c r="CC33" s="1">
        <v>0</v>
      </c>
      <c r="CD33" s="1">
        <v>38</v>
      </c>
      <c r="CE33" s="1">
        <v>0.04</v>
      </c>
      <c r="CF33" s="1">
        <v>5.78</v>
      </c>
      <c r="CG33" s="1" t="s">
        <v>133</v>
      </c>
      <c r="CH33" s="1" t="s">
        <v>133</v>
      </c>
      <c r="CI33" s="1" t="s">
        <v>133</v>
      </c>
      <c r="CJ33" s="1" t="s">
        <v>133</v>
      </c>
      <c r="CK33" s="1" t="s">
        <v>133</v>
      </c>
      <c r="CL33" s="1" t="s">
        <v>133</v>
      </c>
      <c r="CM33" s="1">
        <v>2949.78</v>
      </c>
      <c r="CN33" s="1">
        <v>78.8</v>
      </c>
    </row>
    <row r="34" spans="1:92" x14ac:dyDescent="0.25">
      <c r="A34">
        <v>1432000</v>
      </c>
      <c r="B34" t="s">
        <v>33</v>
      </c>
      <c r="C34" s="1">
        <v>1002.97</v>
      </c>
      <c r="D34" s="1">
        <v>1028.5</v>
      </c>
      <c r="E34" s="1">
        <v>2631591.87</v>
      </c>
      <c r="F34" s="1">
        <v>4891</v>
      </c>
      <c r="G34" s="1">
        <v>49962</v>
      </c>
      <c r="H34" s="1">
        <v>2</v>
      </c>
      <c r="I34" s="1">
        <v>1290.0999999999999</v>
      </c>
      <c r="J34" s="1">
        <v>457</v>
      </c>
      <c r="K34" s="1">
        <v>6090</v>
      </c>
      <c r="L34" s="1">
        <v>26.7</v>
      </c>
      <c r="M34" s="1">
        <v>109624</v>
      </c>
      <c r="N34" s="1">
        <v>52830</v>
      </c>
      <c r="O34" s="1">
        <v>56794</v>
      </c>
      <c r="P34" s="1">
        <v>6351</v>
      </c>
      <c r="Q34" s="1">
        <v>3202</v>
      </c>
      <c r="R34" s="1">
        <v>3149</v>
      </c>
      <c r="S34" s="1">
        <v>6429</v>
      </c>
      <c r="T34" s="1">
        <v>3315</v>
      </c>
      <c r="U34" s="1">
        <v>3114</v>
      </c>
      <c r="V34" s="1">
        <v>5750</v>
      </c>
      <c r="W34" s="1">
        <v>2997</v>
      </c>
      <c r="X34" s="1">
        <v>2753</v>
      </c>
      <c r="Y34" s="1">
        <v>6049</v>
      </c>
      <c r="Z34" s="1">
        <v>3091</v>
      </c>
      <c r="AA34" s="1">
        <v>2958</v>
      </c>
      <c r="AB34" s="1">
        <v>6874</v>
      </c>
      <c r="AC34" s="1">
        <v>3510</v>
      </c>
      <c r="AD34" s="1">
        <v>3364</v>
      </c>
      <c r="AE34" s="1">
        <v>7756</v>
      </c>
      <c r="AF34" s="1">
        <v>3865</v>
      </c>
      <c r="AG34" s="1">
        <v>3891</v>
      </c>
      <c r="AH34" s="1">
        <v>8588</v>
      </c>
      <c r="AI34" s="1">
        <v>4233</v>
      </c>
      <c r="AJ34" s="1">
        <v>4355</v>
      </c>
      <c r="AK34" s="1">
        <v>9365</v>
      </c>
      <c r="AL34" s="1">
        <v>4599</v>
      </c>
      <c r="AM34" s="1">
        <v>4766</v>
      </c>
      <c r="AN34" s="1">
        <v>7828</v>
      </c>
      <c r="AO34" s="1">
        <v>3822</v>
      </c>
      <c r="AP34" s="1">
        <v>4006</v>
      </c>
      <c r="AQ34" s="1">
        <v>6794</v>
      </c>
      <c r="AR34" s="1">
        <v>3384</v>
      </c>
      <c r="AS34" s="1">
        <v>3410</v>
      </c>
      <c r="AT34" s="1">
        <v>7664</v>
      </c>
      <c r="AU34" s="1">
        <v>3663</v>
      </c>
      <c r="AV34" s="1">
        <v>4001</v>
      </c>
      <c r="AW34" s="1">
        <v>8527</v>
      </c>
      <c r="AX34" s="1">
        <v>4095</v>
      </c>
      <c r="AY34" s="1">
        <v>4432</v>
      </c>
      <c r="AZ34" s="1">
        <v>7174</v>
      </c>
      <c r="BA34" s="1">
        <v>3393</v>
      </c>
      <c r="BB34" s="1">
        <v>3781</v>
      </c>
      <c r="BC34" s="1">
        <v>4510</v>
      </c>
      <c r="BD34" s="1">
        <v>1991</v>
      </c>
      <c r="BE34" s="1">
        <v>2519</v>
      </c>
      <c r="BF34" s="1">
        <v>9965</v>
      </c>
      <c r="BG34" s="1">
        <v>3670</v>
      </c>
      <c r="BH34" s="1">
        <v>6295</v>
      </c>
      <c r="BI34" s="1">
        <v>3242</v>
      </c>
      <c r="BJ34" s="1">
        <v>1344</v>
      </c>
      <c r="BK34" s="1">
        <v>1898</v>
      </c>
      <c r="BL34" s="1">
        <v>2927</v>
      </c>
      <c r="BM34" s="1">
        <v>1164</v>
      </c>
      <c r="BN34" s="1">
        <v>1763</v>
      </c>
      <c r="BO34" s="1">
        <v>2157</v>
      </c>
      <c r="BP34" s="1">
        <v>731</v>
      </c>
      <c r="BQ34" s="1">
        <v>1426</v>
      </c>
      <c r="BR34" s="1">
        <v>1639</v>
      </c>
      <c r="BS34" s="1">
        <v>431</v>
      </c>
      <c r="BT34" s="1">
        <v>1208</v>
      </c>
      <c r="BU34" s="1">
        <v>2621</v>
      </c>
      <c r="BV34" s="1">
        <v>24.07</v>
      </c>
      <c r="BW34" s="1">
        <v>17.03</v>
      </c>
      <c r="BX34" s="1">
        <v>1.35</v>
      </c>
      <c r="BY34" s="1">
        <v>362</v>
      </c>
      <c r="BZ34" s="1">
        <v>92</v>
      </c>
      <c r="CA34" s="1">
        <v>131</v>
      </c>
      <c r="CB34" s="1">
        <v>88</v>
      </c>
      <c r="CC34" s="1">
        <v>51</v>
      </c>
      <c r="CD34" s="1">
        <v>6.6</v>
      </c>
      <c r="CE34" s="1">
        <v>0.26</v>
      </c>
      <c r="CF34" s="1">
        <v>5.49</v>
      </c>
      <c r="CG34" s="1" t="s">
        <v>133</v>
      </c>
      <c r="CH34" s="1" t="s">
        <v>133</v>
      </c>
      <c r="CI34" s="1" t="s">
        <v>133</v>
      </c>
      <c r="CJ34" s="1" t="s">
        <v>133</v>
      </c>
      <c r="CK34" s="1" t="s">
        <v>133</v>
      </c>
      <c r="CL34" s="1" t="s">
        <v>133</v>
      </c>
      <c r="CM34" s="1">
        <v>4050.54</v>
      </c>
      <c r="CN34" s="1">
        <v>108.2</v>
      </c>
    </row>
    <row r="35" spans="1:92" x14ac:dyDescent="0.25">
      <c r="A35">
        <v>1433000</v>
      </c>
      <c r="B35" t="s">
        <v>34</v>
      </c>
      <c r="C35" s="1">
        <v>817.27</v>
      </c>
      <c r="D35" s="1">
        <v>822.96</v>
      </c>
      <c r="E35" s="1">
        <v>788163.95</v>
      </c>
      <c r="F35" s="1">
        <v>977</v>
      </c>
      <c r="G35" s="1">
        <v>10326</v>
      </c>
      <c r="H35" s="1">
        <v>2</v>
      </c>
      <c r="I35" s="1">
        <v>2093.3000000000002</v>
      </c>
      <c r="J35" s="1">
        <v>242</v>
      </c>
      <c r="K35" s="1">
        <v>2512</v>
      </c>
      <c r="L35" s="1">
        <v>17.5</v>
      </c>
      <c r="M35" s="1">
        <v>67830</v>
      </c>
      <c r="N35" s="1">
        <v>33880</v>
      </c>
      <c r="O35" s="1">
        <v>33950</v>
      </c>
      <c r="P35" s="1">
        <v>3680</v>
      </c>
      <c r="Q35" s="1">
        <v>1901</v>
      </c>
      <c r="R35" s="1">
        <v>1779</v>
      </c>
      <c r="S35" s="1">
        <v>3292</v>
      </c>
      <c r="T35" s="1">
        <v>1665</v>
      </c>
      <c r="U35" s="1">
        <v>1627</v>
      </c>
      <c r="V35" s="1">
        <v>3634</v>
      </c>
      <c r="W35" s="1">
        <v>1777</v>
      </c>
      <c r="X35" s="1">
        <v>1857</v>
      </c>
      <c r="Y35" s="1">
        <v>4601</v>
      </c>
      <c r="Z35" s="1">
        <v>2373</v>
      </c>
      <c r="AA35" s="1">
        <v>2228</v>
      </c>
      <c r="AB35" s="1">
        <v>5229</v>
      </c>
      <c r="AC35" s="1">
        <v>2678</v>
      </c>
      <c r="AD35" s="1">
        <v>2551</v>
      </c>
      <c r="AE35" s="1">
        <v>5406</v>
      </c>
      <c r="AF35" s="1">
        <v>2837</v>
      </c>
      <c r="AG35" s="1">
        <v>2569</v>
      </c>
      <c r="AH35" s="1">
        <v>5188</v>
      </c>
      <c r="AI35" s="1">
        <v>2817</v>
      </c>
      <c r="AJ35" s="1">
        <v>2371</v>
      </c>
      <c r="AK35" s="1">
        <v>4774</v>
      </c>
      <c r="AL35" s="1">
        <v>2616</v>
      </c>
      <c r="AM35" s="1">
        <v>2158</v>
      </c>
      <c r="AN35" s="1">
        <v>4118</v>
      </c>
      <c r="AO35" s="1">
        <v>2162</v>
      </c>
      <c r="AP35" s="1">
        <v>1956</v>
      </c>
      <c r="AQ35" s="1">
        <v>4147</v>
      </c>
      <c r="AR35" s="1">
        <v>2191</v>
      </c>
      <c r="AS35" s="1">
        <v>1956</v>
      </c>
      <c r="AT35" s="1">
        <v>4480</v>
      </c>
      <c r="AU35" s="1">
        <v>2282</v>
      </c>
      <c r="AV35" s="1">
        <v>2198</v>
      </c>
      <c r="AW35" s="1">
        <v>4956</v>
      </c>
      <c r="AX35" s="1">
        <v>2573</v>
      </c>
      <c r="AY35" s="1">
        <v>2383</v>
      </c>
      <c r="AZ35" s="1">
        <v>4240</v>
      </c>
      <c r="BA35" s="1">
        <v>2074</v>
      </c>
      <c r="BB35" s="1">
        <v>2166</v>
      </c>
      <c r="BC35" s="1">
        <v>2665</v>
      </c>
      <c r="BD35" s="1">
        <v>1218</v>
      </c>
      <c r="BE35" s="1">
        <v>1447</v>
      </c>
      <c r="BF35" s="1">
        <v>7420</v>
      </c>
      <c r="BG35" s="1">
        <v>2716</v>
      </c>
      <c r="BH35" s="1">
        <v>4704</v>
      </c>
      <c r="BI35" s="1">
        <v>2200</v>
      </c>
      <c r="BJ35" s="1">
        <v>904</v>
      </c>
      <c r="BK35" s="1">
        <v>1296</v>
      </c>
      <c r="BL35" s="1">
        <v>2040</v>
      </c>
      <c r="BM35" s="1">
        <v>808</v>
      </c>
      <c r="BN35" s="1">
        <v>1232</v>
      </c>
      <c r="BO35" s="1">
        <v>1839</v>
      </c>
      <c r="BP35" s="1">
        <v>628</v>
      </c>
      <c r="BQ35" s="1">
        <v>1211</v>
      </c>
      <c r="BR35" s="1">
        <v>1341</v>
      </c>
      <c r="BS35" s="1">
        <v>376</v>
      </c>
      <c r="BT35" s="1">
        <v>965</v>
      </c>
      <c r="BU35" s="1">
        <v>1776</v>
      </c>
      <c r="BV35" s="1">
        <v>26.15</v>
      </c>
      <c r="BW35" s="1">
        <v>16.059999999999999</v>
      </c>
      <c r="BX35" s="1">
        <v>1.1499999999999999</v>
      </c>
      <c r="BY35" s="1">
        <v>27</v>
      </c>
      <c r="BZ35" s="1">
        <v>6</v>
      </c>
      <c r="CA35" s="1">
        <v>14</v>
      </c>
      <c r="CB35" s="1">
        <v>7</v>
      </c>
      <c r="CC35" s="1">
        <v>0</v>
      </c>
      <c r="CD35" s="1">
        <v>15.7</v>
      </c>
      <c r="CE35" s="1">
        <v>0.1</v>
      </c>
      <c r="CF35" s="1">
        <v>7.75</v>
      </c>
      <c r="CG35" s="1">
        <v>72</v>
      </c>
      <c r="CH35" s="1">
        <v>56</v>
      </c>
      <c r="CI35" s="1">
        <v>16</v>
      </c>
      <c r="CJ35" s="1">
        <v>55</v>
      </c>
      <c r="CK35" s="1">
        <v>48</v>
      </c>
      <c r="CL35" s="1">
        <v>7</v>
      </c>
      <c r="CM35" s="1">
        <v>2970.76</v>
      </c>
      <c r="CN35" s="1">
        <v>79.3</v>
      </c>
    </row>
    <row r="36" spans="1:92" x14ac:dyDescent="0.25">
      <c r="A36">
        <v>1434000</v>
      </c>
      <c r="B36" t="s">
        <v>35</v>
      </c>
      <c r="C36" s="1">
        <v>669.51</v>
      </c>
      <c r="D36" s="1">
        <v>668.29</v>
      </c>
      <c r="E36" s="1">
        <v>3918722.03</v>
      </c>
      <c r="F36" s="1">
        <v>2139</v>
      </c>
      <c r="G36" s="1">
        <v>16831</v>
      </c>
      <c r="H36" s="1">
        <v>2</v>
      </c>
      <c r="I36" s="1">
        <v>118.6</v>
      </c>
      <c r="J36" s="1">
        <v>564</v>
      </c>
      <c r="K36" s="1">
        <v>5786</v>
      </c>
      <c r="L36" s="1">
        <v>17.399999999999999</v>
      </c>
      <c r="M36" s="1">
        <v>225655</v>
      </c>
      <c r="N36" s="1">
        <v>108899</v>
      </c>
      <c r="O36" s="1">
        <v>116756</v>
      </c>
      <c r="P36" s="1">
        <v>15144</v>
      </c>
      <c r="Q36" s="1">
        <v>7842</v>
      </c>
      <c r="R36" s="1">
        <v>7302</v>
      </c>
      <c r="S36" s="1">
        <v>13901</v>
      </c>
      <c r="T36" s="1">
        <v>7174</v>
      </c>
      <c r="U36" s="1">
        <v>6727</v>
      </c>
      <c r="V36" s="1">
        <v>12326</v>
      </c>
      <c r="W36" s="1">
        <v>6343</v>
      </c>
      <c r="X36" s="1">
        <v>5983</v>
      </c>
      <c r="Y36" s="1">
        <v>13076</v>
      </c>
      <c r="Z36" s="1">
        <v>6623</v>
      </c>
      <c r="AA36" s="1">
        <v>6453</v>
      </c>
      <c r="AB36" s="1">
        <v>14842</v>
      </c>
      <c r="AC36" s="1">
        <v>7519</v>
      </c>
      <c r="AD36" s="1">
        <v>7323</v>
      </c>
      <c r="AE36" s="1">
        <v>18033</v>
      </c>
      <c r="AF36" s="1">
        <v>8836</v>
      </c>
      <c r="AG36" s="1">
        <v>9197</v>
      </c>
      <c r="AH36" s="1">
        <v>20934</v>
      </c>
      <c r="AI36" s="1">
        <v>10068</v>
      </c>
      <c r="AJ36" s="1">
        <v>10866</v>
      </c>
      <c r="AK36" s="1">
        <v>20172</v>
      </c>
      <c r="AL36" s="1">
        <v>9945</v>
      </c>
      <c r="AM36" s="1">
        <v>10227</v>
      </c>
      <c r="AN36" s="1">
        <v>15662</v>
      </c>
      <c r="AO36" s="1">
        <v>7820</v>
      </c>
      <c r="AP36" s="1">
        <v>7842</v>
      </c>
      <c r="AQ36" s="1">
        <v>13327</v>
      </c>
      <c r="AR36" s="1">
        <v>6698</v>
      </c>
      <c r="AS36" s="1">
        <v>6629</v>
      </c>
      <c r="AT36" s="1">
        <v>14378</v>
      </c>
      <c r="AU36" s="1">
        <v>7078</v>
      </c>
      <c r="AV36" s="1">
        <v>7300</v>
      </c>
      <c r="AW36" s="1">
        <v>15226</v>
      </c>
      <c r="AX36" s="1">
        <v>7258</v>
      </c>
      <c r="AY36" s="1">
        <v>7968</v>
      </c>
      <c r="AZ36" s="1">
        <v>12335</v>
      </c>
      <c r="BA36" s="1">
        <v>5724</v>
      </c>
      <c r="BB36" s="1">
        <v>6611</v>
      </c>
      <c r="BC36" s="1">
        <v>7937</v>
      </c>
      <c r="BD36" s="1">
        <v>3370</v>
      </c>
      <c r="BE36" s="1">
        <v>4567</v>
      </c>
      <c r="BF36" s="1">
        <v>18362</v>
      </c>
      <c r="BG36" s="1">
        <v>6601</v>
      </c>
      <c r="BH36" s="1">
        <v>11761</v>
      </c>
      <c r="BI36" s="1">
        <v>6355</v>
      </c>
      <c r="BJ36" s="1">
        <v>2560</v>
      </c>
      <c r="BK36" s="1">
        <v>3795</v>
      </c>
      <c r="BL36" s="1">
        <v>5360</v>
      </c>
      <c r="BM36" s="1">
        <v>2074</v>
      </c>
      <c r="BN36" s="1">
        <v>3286</v>
      </c>
      <c r="BO36" s="1">
        <v>3923</v>
      </c>
      <c r="BP36" s="1">
        <v>1290</v>
      </c>
      <c r="BQ36" s="1">
        <v>2633</v>
      </c>
      <c r="BR36" s="1">
        <v>2724</v>
      </c>
      <c r="BS36" s="1">
        <v>677</v>
      </c>
      <c r="BT36" s="1">
        <v>2047</v>
      </c>
      <c r="BU36" s="1">
        <v>5910</v>
      </c>
      <c r="BV36" s="1">
        <v>26.35</v>
      </c>
      <c r="BW36" s="1">
        <v>19.5</v>
      </c>
      <c r="BX36" s="1">
        <v>1.84</v>
      </c>
      <c r="BY36" s="1">
        <v>510</v>
      </c>
      <c r="BZ36" s="1">
        <v>76</v>
      </c>
      <c r="CA36" s="1">
        <v>201</v>
      </c>
      <c r="CB36" s="1">
        <v>125</v>
      </c>
      <c r="CC36" s="1">
        <v>108</v>
      </c>
      <c r="CD36" s="1">
        <v>15.7</v>
      </c>
      <c r="CE36" s="1">
        <v>0.25</v>
      </c>
      <c r="CF36" s="1">
        <v>4.0199999999999996</v>
      </c>
      <c r="CG36" s="1">
        <v>104</v>
      </c>
      <c r="CH36" s="1">
        <v>84</v>
      </c>
      <c r="CI36" s="1">
        <v>20</v>
      </c>
      <c r="CJ36" s="1">
        <v>45</v>
      </c>
      <c r="CK36" s="1">
        <v>38</v>
      </c>
      <c r="CL36" s="1">
        <v>7</v>
      </c>
      <c r="CM36" s="1">
        <v>3447.14</v>
      </c>
      <c r="CN36" s="1">
        <v>92.1</v>
      </c>
    </row>
    <row r="37" spans="1:92" x14ac:dyDescent="0.25">
      <c r="A37">
        <v>1435000</v>
      </c>
      <c r="B37" t="s">
        <v>36</v>
      </c>
      <c r="C37" s="1">
        <v>1017.92</v>
      </c>
      <c r="D37" s="1">
        <v>1011.68</v>
      </c>
      <c r="E37" s="1">
        <v>3089382.94</v>
      </c>
      <c r="F37" s="1">
        <v>2143</v>
      </c>
      <c r="G37" s="1">
        <v>29354</v>
      </c>
      <c r="H37" s="1" t="s">
        <v>133</v>
      </c>
      <c r="I37" s="1" t="s">
        <v>133</v>
      </c>
      <c r="J37" s="1">
        <v>1393</v>
      </c>
      <c r="K37" s="1">
        <v>3691</v>
      </c>
      <c r="L37" s="1">
        <v>18.600000000000001</v>
      </c>
      <c r="M37" s="1">
        <v>73817</v>
      </c>
      <c r="N37" s="1">
        <v>36549</v>
      </c>
      <c r="O37" s="1">
        <v>37268</v>
      </c>
      <c r="P37" s="1">
        <v>4468</v>
      </c>
      <c r="Q37" s="1">
        <v>2315</v>
      </c>
      <c r="R37" s="1">
        <v>2153</v>
      </c>
      <c r="S37" s="1">
        <v>3994</v>
      </c>
      <c r="T37" s="1">
        <v>2086</v>
      </c>
      <c r="U37" s="1">
        <v>1908</v>
      </c>
      <c r="V37" s="1">
        <v>4214</v>
      </c>
      <c r="W37" s="1">
        <v>2095</v>
      </c>
      <c r="X37" s="1">
        <v>2119</v>
      </c>
      <c r="Y37" s="1">
        <v>4973</v>
      </c>
      <c r="Z37" s="1">
        <v>2517</v>
      </c>
      <c r="AA37" s="1">
        <v>2456</v>
      </c>
      <c r="AB37" s="1">
        <v>5883</v>
      </c>
      <c r="AC37" s="1">
        <v>2988</v>
      </c>
      <c r="AD37" s="1">
        <v>2895</v>
      </c>
      <c r="AE37" s="1">
        <v>6164</v>
      </c>
      <c r="AF37" s="1">
        <v>3234</v>
      </c>
      <c r="AG37" s="1">
        <v>2930</v>
      </c>
      <c r="AH37" s="1">
        <v>5829</v>
      </c>
      <c r="AI37" s="1">
        <v>3044</v>
      </c>
      <c r="AJ37" s="1">
        <v>2785</v>
      </c>
      <c r="AK37" s="1">
        <v>5361</v>
      </c>
      <c r="AL37" s="1">
        <v>2827</v>
      </c>
      <c r="AM37" s="1">
        <v>2534</v>
      </c>
      <c r="AN37" s="1">
        <v>4810</v>
      </c>
      <c r="AO37" s="1">
        <v>2479</v>
      </c>
      <c r="AP37" s="1">
        <v>2331</v>
      </c>
      <c r="AQ37" s="1">
        <v>4726</v>
      </c>
      <c r="AR37" s="1">
        <v>2418</v>
      </c>
      <c r="AS37" s="1">
        <v>2308</v>
      </c>
      <c r="AT37" s="1">
        <v>5027</v>
      </c>
      <c r="AU37" s="1">
        <v>2555</v>
      </c>
      <c r="AV37" s="1">
        <v>2472</v>
      </c>
      <c r="AW37" s="1">
        <v>5025</v>
      </c>
      <c r="AX37" s="1">
        <v>2541</v>
      </c>
      <c r="AY37" s="1">
        <v>2484</v>
      </c>
      <c r="AZ37" s="1">
        <v>4010</v>
      </c>
      <c r="BA37" s="1">
        <v>1864</v>
      </c>
      <c r="BB37" s="1">
        <v>2146</v>
      </c>
      <c r="BC37" s="1">
        <v>2575</v>
      </c>
      <c r="BD37" s="1">
        <v>1128</v>
      </c>
      <c r="BE37" s="1">
        <v>1447</v>
      </c>
      <c r="BF37" s="1">
        <v>6758</v>
      </c>
      <c r="BG37" s="1">
        <v>2458</v>
      </c>
      <c r="BH37" s="1">
        <v>4300</v>
      </c>
      <c r="BI37" s="1">
        <v>2308</v>
      </c>
      <c r="BJ37" s="1">
        <v>982</v>
      </c>
      <c r="BK37" s="1">
        <v>1326</v>
      </c>
      <c r="BL37" s="1">
        <v>1872</v>
      </c>
      <c r="BM37" s="1">
        <v>706</v>
      </c>
      <c r="BN37" s="1">
        <v>1166</v>
      </c>
      <c r="BO37" s="1">
        <v>1518</v>
      </c>
      <c r="BP37" s="1">
        <v>488</v>
      </c>
      <c r="BQ37" s="1">
        <v>1030</v>
      </c>
      <c r="BR37" s="1">
        <v>1060</v>
      </c>
      <c r="BS37" s="1">
        <v>282</v>
      </c>
      <c r="BT37" s="1">
        <v>778</v>
      </c>
      <c r="BU37" s="1">
        <v>2274</v>
      </c>
      <c r="BV37" s="1">
        <v>30.82</v>
      </c>
      <c r="BW37" s="1">
        <v>20.59</v>
      </c>
      <c r="BX37" s="1">
        <v>2.2200000000000002</v>
      </c>
      <c r="BY37" s="1">
        <v>24</v>
      </c>
      <c r="BZ37" s="1">
        <v>10</v>
      </c>
      <c r="CA37" s="1">
        <v>12</v>
      </c>
      <c r="CB37" s="1">
        <v>0</v>
      </c>
      <c r="CC37" s="1">
        <v>0</v>
      </c>
      <c r="CD37" s="1">
        <v>15.1</v>
      </c>
      <c r="CE37" s="1">
        <v>0.09</v>
      </c>
      <c r="CF37" s="1">
        <v>4.82</v>
      </c>
      <c r="CG37" s="1">
        <v>527</v>
      </c>
      <c r="CH37" s="1">
        <v>414</v>
      </c>
      <c r="CI37" s="1">
        <v>113</v>
      </c>
      <c r="CJ37" s="1">
        <v>331</v>
      </c>
      <c r="CK37" s="1">
        <v>300</v>
      </c>
      <c r="CL37" s="1">
        <v>31</v>
      </c>
      <c r="CM37" s="1">
        <v>3119.46</v>
      </c>
      <c r="CN37" s="1">
        <v>83.3</v>
      </c>
    </row>
    <row r="38" spans="1:92" x14ac:dyDescent="0.25">
      <c r="A38">
        <v>1436000</v>
      </c>
      <c r="B38" t="s">
        <v>37</v>
      </c>
      <c r="C38" s="1">
        <v>826.35</v>
      </c>
      <c r="D38" s="1">
        <v>807.82</v>
      </c>
      <c r="E38" s="1">
        <v>1987624.81</v>
      </c>
      <c r="F38" s="1">
        <v>600</v>
      </c>
      <c r="G38" s="1">
        <v>6977</v>
      </c>
      <c r="H38" s="1">
        <v>2</v>
      </c>
      <c r="I38" s="1">
        <v>8424.4</v>
      </c>
      <c r="J38" s="1">
        <v>0</v>
      </c>
      <c r="K38" s="1">
        <v>2648</v>
      </c>
      <c r="L38" s="1">
        <v>16.899999999999999</v>
      </c>
      <c r="M38" s="1">
        <v>37069</v>
      </c>
      <c r="N38" s="1">
        <v>18479</v>
      </c>
      <c r="O38" s="1">
        <v>18590</v>
      </c>
      <c r="P38" s="1">
        <v>2023</v>
      </c>
      <c r="Q38" s="1">
        <v>1086</v>
      </c>
      <c r="R38" s="1">
        <v>937</v>
      </c>
      <c r="S38" s="1">
        <v>1839</v>
      </c>
      <c r="T38" s="1">
        <v>942</v>
      </c>
      <c r="U38" s="1">
        <v>897</v>
      </c>
      <c r="V38" s="1">
        <v>2056</v>
      </c>
      <c r="W38" s="1">
        <v>1066</v>
      </c>
      <c r="X38" s="1">
        <v>990</v>
      </c>
      <c r="Y38" s="1">
        <v>2586</v>
      </c>
      <c r="Z38" s="1">
        <v>1341</v>
      </c>
      <c r="AA38" s="1">
        <v>1245</v>
      </c>
      <c r="AB38" s="1">
        <v>2914</v>
      </c>
      <c r="AC38" s="1">
        <v>1515</v>
      </c>
      <c r="AD38" s="1">
        <v>1399</v>
      </c>
      <c r="AE38" s="1">
        <v>2857</v>
      </c>
      <c r="AF38" s="1">
        <v>1477</v>
      </c>
      <c r="AG38" s="1">
        <v>1380</v>
      </c>
      <c r="AH38" s="1">
        <v>2874</v>
      </c>
      <c r="AI38" s="1">
        <v>1533</v>
      </c>
      <c r="AJ38" s="1">
        <v>1341</v>
      </c>
      <c r="AK38" s="1">
        <v>2600</v>
      </c>
      <c r="AL38" s="1">
        <v>1379</v>
      </c>
      <c r="AM38" s="1">
        <v>1221</v>
      </c>
      <c r="AN38" s="1">
        <v>2333</v>
      </c>
      <c r="AO38" s="1">
        <v>1197</v>
      </c>
      <c r="AP38" s="1">
        <v>1136</v>
      </c>
      <c r="AQ38" s="1">
        <v>2252</v>
      </c>
      <c r="AR38" s="1">
        <v>1187</v>
      </c>
      <c r="AS38" s="1">
        <v>1065</v>
      </c>
      <c r="AT38" s="1">
        <v>2539</v>
      </c>
      <c r="AU38" s="1">
        <v>1340</v>
      </c>
      <c r="AV38" s="1">
        <v>1199</v>
      </c>
      <c r="AW38" s="1">
        <v>2660</v>
      </c>
      <c r="AX38" s="1">
        <v>1377</v>
      </c>
      <c r="AY38" s="1">
        <v>1283</v>
      </c>
      <c r="AZ38" s="1">
        <v>2116</v>
      </c>
      <c r="BA38" s="1">
        <v>1025</v>
      </c>
      <c r="BB38" s="1">
        <v>1091</v>
      </c>
      <c r="BC38" s="1">
        <v>1444</v>
      </c>
      <c r="BD38" s="1">
        <v>621</v>
      </c>
      <c r="BE38" s="1">
        <v>823</v>
      </c>
      <c r="BF38" s="1">
        <v>3976</v>
      </c>
      <c r="BG38" s="1">
        <v>1393</v>
      </c>
      <c r="BH38" s="1">
        <v>2583</v>
      </c>
      <c r="BI38" s="1">
        <v>1179</v>
      </c>
      <c r="BJ38" s="1">
        <v>477</v>
      </c>
      <c r="BK38" s="1">
        <v>702</v>
      </c>
      <c r="BL38" s="1">
        <v>1126</v>
      </c>
      <c r="BM38" s="1">
        <v>429</v>
      </c>
      <c r="BN38" s="1">
        <v>697</v>
      </c>
      <c r="BO38" s="1">
        <v>987</v>
      </c>
      <c r="BP38" s="1">
        <v>314</v>
      </c>
      <c r="BQ38" s="1">
        <v>673</v>
      </c>
      <c r="BR38" s="1">
        <v>684</v>
      </c>
      <c r="BS38" s="1">
        <v>173</v>
      </c>
      <c r="BT38" s="1">
        <v>511</v>
      </c>
      <c r="BU38" s="1">
        <v>704</v>
      </c>
      <c r="BV38" s="1">
        <v>18.98</v>
      </c>
      <c r="BW38" s="1">
        <v>11.51</v>
      </c>
      <c r="BX38" s="1">
        <v>1.89</v>
      </c>
      <c r="BY38" s="1">
        <v>4</v>
      </c>
      <c r="BZ38" s="1">
        <v>0</v>
      </c>
      <c r="CA38" s="1">
        <v>3</v>
      </c>
      <c r="CB38" s="1">
        <v>0</v>
      </c>
      <c r="CC38" s="1">
        <v>0</v>
      </c>
      <c r="CD38" s="1">
        <v>21.9</v>
      </c>
      <c r="CE38" s="1">
        <v>0.01</v>
      </c>
      <c r="CF38" s="1">
        <v>2.12</v>
      </c>
      <c r="CG38" s="1" t="s">
        <v>133</v>
      </c>
      <c r="CH38" s="1" t="s">
        <v>133</v>
      </c>
      <c r="CI38" s="1" t="s">
        <v>133</v>
      </c>
      <c r="CJ38" s="1" t="s">
        <v>133</v>
      </c>
      <c r="CK38" s="1" t="s">
        <v>133</v>
      </c>
      <c r="CL38" s="1" t="s">
        <v>133</v>
      </c>
      <c r="CM38" s="1">
        <v>3114.68</v>
      </c>
      <c r="CN38" s="1">
        <v>83.2</v>
      </c>
    </row>
    <row r="39" spans="1:92" x14ac:dyDescent="0.25">
      <c r="A39">
        <v>1437000</v>
      </c>
      <c r="B39" t="s">
        <v>38</v>
      </c>
      <c r="C39" s="1">
        <v>1055.3699999999999</v>
      </c>
      <c r="D39" s="1">
        <v>1025.9000000000001</v>
      </c>
      <c r="E39" s="1">
        <v>3436009.07</v>
      </c>
      <c r="F39" s="1">
        <v>610</v>
      </c>
      <c r="G39" s="1">
        <v>5100</v>
      </c>
      <c r="H39" s="1">
        <v>1</v>
      </c>
      <c r="I39" s="1">
        <v>413.4</v>
      </c>
      <c r="J39" s="1">
        <v>234</v>
      </c>
      <c r="K39" s="1">
        <v>3358</v>
      </c>
      <c r="L39" s="1">
        <v>12.6</v>
      </c>
      <c r="M39" s="1">
        <v>40300</v>
      </c>
      <c r="N39" s="1">
        <v>19915</v>
      </c>
      <c r="O39" s="1">
        <v>20385</v>
      </c>
      <c r="P39" s="1">
        <v>2135</v>
      </c>
      <c r="Q39" s="1">
        <v>1061</v>
      </c>
      <c r="R39" s="1">
        <v>1074</v>
      </c>
      <c r="S39" s="1">
        <v>2028</v>
      </c>
      <c r="T39" s="1">
        <v>1054</v>
      </c>
      <c r="U39" s="1">
        <v>974</v>
      </c>
      <c r="V39" s="1">
        <v>2311</v>
      </c>
      <c r="W39" s="1">
        <v>1176</v>
      </c>
      <c r="X39" s="1">
        <v>1135</v>
      </c>
      <c r="Y39" s="1">
        <v>2771</v>
      </c>
      <c r="Z39" s="1">
        <v>1387</v>
      </c>
      <c r="AA39" s="1">
        <v>1384</v>
      </c>
      <c r="AB39" s="1">
        <v>3154</v>
      </c>
      <c r="AC39" s="1">
        <v>1651</v>
      </c>
      <c r="AD39" s="1">
        <v>1503</v>
      </c>
      <c r="AE39" s="1">
        <v>3140</v>
      </c>
      <c r="AF39" s="1">
        <v>1657</v>
      </c>
      <c r="AG39" s="1">
        <v>1483</v>
      </c>
      <c r="AH39" s="1">
        <v>2745</v>
      </c>
      <c r="AI39" s="1">
        <v>1464</v>
      </c>
      <c r="AJ39" s="1">
        <v>1281</v>
      </c>
      <c r="AK39" s="1">
        <v>2824</v>
      </c>
      <c r="AL39" s="1">
        <v>1470</v>
      </c>
      <c r="AM39" s="1">
        <v>1354</v>
      </c>
      <c r="AN39" s="1">
        <v>2610</v>
      </c>
      <c r="AO39" s="1">
        <v>1337</v>
      </c>
      <c r="AP39" s="1">
        <v>1273</v>
      </c>
      <c r="AQ39" s="1">
        <v>2734</v>
      </c>
      <c r="AR39" s="1">
        <v>1421</v>
      </c>
      <c r="AS39" s="1">
        <v>1313</v>
      </c>
      <c r="AT39" s="1">
        <v>2822</v>
      </c>
      <c r="AU39" s="1">
        <v>1490</v>
      </c>
      <c r="AV39" s="1">
        <v>1332</v>
      </c>
      <c r="AW39" s="1">
        <v>2662</v>
      </c>
      <c r="AX39" s="1">
        <v>1353</v>
      </c>
      <c r="AY39" s="1">
        <v>1309</v>
      </c>
      <c r="AZ39" s="1">
        <v>2320</v>
      </c>
      <c r="BA39" s="1">
        <v>1100</v>
      </c>
      <c r="BB39" s="1">
        <v>1220</v>
      </c>
      <c r="BC39" s="1">
        <v>1539</v>
      </c>
      <c r="BD39" s="1">
        <v>654</v>
      </c>
      <c r="BE39" s="1">
        <v>885</v>
      </c>
      <c r="BF39" s="1">
        <v>4505</v>
      </c>
      <c r="BG39" s="1">
        <v>1640</v>
      </c>
      <c r="BH39" s="1">
        <v>2865</v>
      </c>
      <c r="BI39" s="1">
        <v>1372</v>
      </c>
      <c r="BJ39" s="1">
        <v>582</v>
      </c>
      <c r="BK39" s="1">
        <v>790</v>
      </c>
      <c r="BL39" s="1">
        <v>1359</v>
      </c>
      <c r="BM39" s="1">
        <v>551</v>
      </c>
      <c r="BN39" s="1">
        <v>808</v>
      </c>
      <c r="BO39" s="1">
        <v>1068</v>
      </c>
      <c r="BP39" s="1">
        <v>345</v>
      </c>
      <c r="BQ39" s="1">
        <v>723</v>
      </c>
      <c r="BR39" s="1">
        <v>706</v>
      </c>
      <c r="BS39" s="1">
        <v>162</v>
      </c>
      <c r="BT39" s="1">
        <v>544</v>
      </c>
      <c r="BU39" s="1">
        <v>551</v>
      </c>
      <c r="BV39" s="1">
        <v>13.67</v>
      </c>
      <c r="BW39" s="1">
        <v>7.99</v>
      </c>
      <c r="BX39" s="1">
        <v>0.79</v>
      </c>
      <c r="BY39" s="1">
        <v>32</v>
      </c>
      <c r="BZ39" s="1">
        <v>8</v>
      </c>
      <c r="CA39" s="1">
        <v>12</v>
      </c>
      <c r="CB39" s="1">
        <v>10</v>
      </c>
      <c r="CC39" s="1">
        <v>0</v>
      </c>
      <c r="CD39" s="1">
        <v>23.3</v>
      </c>
      <c r="CE39" s="1">
        <v>0.03</v>
      </c>
      <c r="CF39" s="1">
        <v>4.18</v>
      </c>
      <c r="CG39" s="1" t="s">
        <v>133</v>
      </c>
      <c r="CH39" s="1" t="s">
        <v>133</v>
      </c>
      <c r="CI39" s="1" t="s">
        <v>133</v>
      </c>
      <c r="CJ39" s="1" t="s">
        <v>133</v>
      </c>
      <c r="CK39" s="1" t="s">
        <v>133</v>
      </c>
      <c r="CL39" s="1" t="s">
        <v>133</v>
      </c>
      <c r="CM39" s="1">
        <v>2923.14</v>
      </c>
      <c r="CN39" s="1">
        <v>78.099999999999994</v>
      </c>
    </row>
    <row r="40" spans="1:92" x14ac:dyDescent="0.25">
      <c r="A40">
        <v>1438000</v>
      </c>
      <c r="B40" t="s">
        <v>39</v>
      </c>
      <c r="C40" s="1">
        <v>678.63</v>
      </c>
      <c r="D40" s="1">
        <v>713.26</v>
      </c>
      <c r="E40" s="1">
        <v>1939939.38</v>
      </c>
      <c r="F40" s="1">
        <v>2302</v>
      </c>
      <c r="G40" s="1">
        <v>23905</v>
      </c>
      <c r="H40" s="1">
        <v>2</v>
      </c>
      <c r="I40" s="1">
        <v>708.2</v>
      </c>
      <c r="J40" s="1">
        <v>151</v>
      </c>
      <c r="K40" s="1">
        <v>5890</v>
      </c>
      <c r="L40" s="1">
        <v>16.600000000000001</v>
      </c>
      <c r="M40" s="1">
        <v>76573</v>
      </c>
      <c r="N40" s="1">
        <v>36620</v>
      </c>
      <c r="O40" s="1">
        <v>39953</v>
      </c>
      <c r="P40" s="1">
        <v>4454</v>
      </c>
      <c r="Q40" s="1">
        <v>2292</v>
      </c>
      <c r="R40" s="1">
        <v>2162</v>
      </c>
      <c r="S40" s="1">
        <v>3875</v>
      </c>
      <c r="T40" s="1">
        <v>1951</v>
      </c>
      <c r="U40" s="1">
        <v>1924</v>
      </c>
      <c r="V40" s="1">
        <v>3692</v>
      </c>
      <c r="W40" s="1">
        <v>1876</v>
      </c>
      <c r="X40" s="1">
        <v>1816</v>
      </c>
      <c r="Y40" s="1">
        <v>4269</v>
      </c>
      <c r="Z40" s="1">
        <v>2175</v>
      </c>
      <c r="AA40" s="1">
        <v>2094</v>
      </c>
      <c r="AB40" s="1">
        <v>4970</v>
      </c>
      <c r="AC40" s="1">
        <v>2575</v>
      </c>
      <c r="AD40" s="1">
        <v>2395</v>
      </c>
      <c r="AE40" s="1">
        <v>5839</v>
      </c>
      <c r="AF40" s="1">
        <v>2955</v>
      </c>
      <c r="AG40" s="1">
        <v>2884</v>
      </c>
      <c r="AH40" s="1">
        <v>6465</v>
      </c>
      <c r="AI40" s="1">
        <v>3253</v>
      </c>
      <c r="AJ40" s="1">
        <v>3212</v>
      </c>
      <c r="AK40" s="1">
        <v>5907</v>
      </c>
      <c r="AL40" s="1">
        <v>2989</v>
      </c>
      <c r="AM40" s="1">
        <v>2918</v>
      </c>
      <c r="AN40" s="1">
        <v>4874</v>
      </c>
      <c r="AO40" s="1">
        <v>2478</v>
      </c>
      <c r="AP40" s="1">
        <v>2396</v>
      </c>
      <c r="AQ40" s="1">
        <v>4495</v>
      </c>
      <c r="AR40" s="1">
        <v>2188</v>
      </c>
      <c r="AS40" s="1">
        <v>2307</v>
      </c>
      <c r="AT40" s="1">
        <v>5216</v>
      </c>
      <c r="AU40" s="1">
        <v>2512</v>
      </c>
      <c r="AV40" s="1">
        <v>2704</v>
      </c>
      <c r="AW40" s="1">
        <v>6242</v>
      </c>
      <c r="AX40" s="1">
        <v>2905</v>
      </c>
      <c r="AY40" s="1">
        <v>3337</v>
      </c>
      <c r="AZ40" s="1">
        <v>5267</v>
      </c>
      <c r="BA40" s="1">
        <v>2417</v>
      </c>
      <c r="BB40" s="1">
        <v>2850</v>
      </c>
      <c r="BC40" s="1">
        <v>3388</v>
      </c>
      <c r="BD40" s="1">
        <v>1470</v>
      </c>
      <c r="BE40" s="1">
        <v>1918</v>
      </c>
      <c r="BF40" s="1">
        <v>7620</v>
      </c>
      <c r="BG40" s="1">
        <v>2584</v>
      </c>
      <c r="BH40" s="1">
        <v>5036</v>
      </c>
      <c r="BI40" s="1">
        <v>2512</v>
      </c>
      <c r="BJ40" s="1">
        <v>980</v>
      </c>
      <c r="BK40" s="1">
        <v>1532</v>
      </c>
      <c r="BL40" s="1">
        <v>2174</v>
      </c>
      <c r="BM40" s="1">
        <v>777</v>
      </c>
      <c r="BN40" s="1">
        <v>1397</v>
      </c>
      <c r="BO40" s="1">
        <v>1678</v>
      </c>
      <c r="BP40" s="1">
        <v>518</v>
      </c>
      <c r="BQ40" s="1">
        <v>1160</v>
      </c>
      <c r="BR40" s="1">
        <v>1256</v>
      </c>
      <c r="BS40" s="1">
        <v>309</v>
      </c>
      <c r="BT40" s="1">
        <v>947</v>
      </c>
      <c r="BU40" s="1">
        <v>2150</v>
      </c>
      <c r="BV40" s="1">
        <v>28.06</v>
      </c>
      <c r="BW40" s="1">
        <v>21.76</v>
      </c>
      <c r="BX40" s="1">
        <v>1.77</v>
      </c>
      <c r="BY40" s="1">
        <v>126</v>
      </c>
      <c r="BZ40" s="1">
        <v>49</v>
      </c>
      <c r="CA40" s="1">
        <v>57</v>
      </c>
      <c r="CB40" s="1">
        <v>18</v>
      </c>
      <c r="CC40" s="1">
        <v>0</v>
      </c>
      <c r="CD40" s="1">
        <v>15.3</v>
      </c>
      <c r="CE40" s="1">
        <v>7.0000000000000007E-2</v>
      </c>
      <c r="CF40" s="1">
        <v>3.58</v>
      </c>
      <c r="CG40" s="1">
        <v>793</v>
      </c>
      <c r="CH40" s="1">
        <v>507</v>
      </c>
      <c r="CI40" s="1">
        <v>286</v>
      </c>
      <c r="CJ40" s="1">
        <v>192</v>
      </c>
      <c r="CK40" s="1">
        <v>182</v>
      </c>
      <c r="CL40" s="1">
        <v>10</v>
      </c>
      <c r="CM40" s="1">
        <v>3541.83</v>
      </c>
      <c r="CN40" s="1">
        <v>94.6</v>
      </c>
    </row>
    <row r="41" spans="1:92" x14ac:dyDescent="0.25">
      <c r="A41">
        <v>1461000</v>
      </c>
      <c r="B41" t="s">
        <v>44</v>
      </c>
      <c r="C41" s="1" t="s">
        <v>133</v>
      </c>
      <c r="D41" s="1" t="s">
        <v>133</v>
      </c>
      <c r="E41" s="1" t="s">
        <v>133</v>
      </c>
      <c r="F41" s="1">
        <v>15856</v>
      </c>
      <c r="G41" s="1">
        <v>95560</v>
      </c>
      <c r="H41" s="1">
        <v>1</v>
      </c>
      <c r="I41" s="1">
        <v>2152.6999999999998</v>
      </c>
      <c r="J41" s="1">
        <v>138</v>
      </c>
      <c r="K41" s="1">
        <v>7612</v>
      </c>
      <c r="L41" s="1">
        <v>9.6</v>
      </c>
      <c r="M41" s="1">
        <v>53287</v>
      </c>
      <c r="N41" s="1">
        <v>25592</v>
      </c>
      <c r="O41" s="1">
        <v>27695</v>
      </c>
      <c r="P41" s="1">
        <v>2846</v>
      </c>
      <c r="Q41" s="1">
        <v>1467</v>
      </c>
      <c r="R41" s="1">
        <v>1379</v>
      </c>
      <c r="S41" s="1">
        <v>2530</v>
      </c>
      <c r="T41" s="1">
        <v>1292</v>
      </c>
      <c r="U41" s="1">
        <v>1238</v>
      </c>
      <c r="V41" s="1">
        <v>2576</v>
      </c>
      <c r="W41" s="1">
        <v>1336</v>
      </c>
      <c r="X41" s="1">
        <v>1240</v>
      </c>
      <c r="Y41" s="1">
        <v>3265</v>
      </c>
      <c r="Z41" s="1">
        <v>1612</v>
      </c>
      <c r="AA41" s="1">
        <v>1653</v>
      </c>
      <c r="AB41" s="1">
        <v>3630</v>
      </c>
      <c r="AC41" s="1">
        <v>1785</v>
      </c>
      <c r="AD41" s="1">
        <v>1845</v>
      </c>
      <c r="AE41" s="1">
        <v>4697</v>
      </c>
      <c r="AF41" s="1">
        <v>2426</v>
      </c>
      <c r="AG41" s="1">
        <v>2271</v>
      </c>
      <c r="AH41" s="1">
        <v>4709</v>
      </c>
      <c r="AI41" s="1">
        <v>2482</v>
      </c>
      <c r="AJ41" s="1">
        <v>2227</v>
      </c>
      <c r="AK41" s="1">
        <v>3812</v>
      </c>
      <c r="AL41" s="1">
        <v>1926</v>
      </c>
      <c r="AM41" s="1">
        <v>1886</v>
      </c>
      <c r="AN41" s="1">
        <v>3209</v>
      </c>
      <c r="AO41" s="1">
        <v>1569</v>
      </c>
      <c r="AP41" s="1">
        <v>1640</v>
      </c>
      <c r="AQ41" s="1">
        <v>3362</v>
      </c>
      <c r="AR41" s="1">
        <v>1580</v>
      </c>
      <c r="AS41" s="1">
        <v>1782</v>
      </c>
      <c r="AT41" s="1">
        <v>4121</v>
      </c>
      <c r="AU41" s="1">
        <v>1854</v>
      </c>
      <c r="AV41" s="1">
        <v>2267</v>
      </c>
      <c r="AW41" s="1">
        <v>4735</v>
      </c>
      <c r="AX41" s="1">
        <v>2081</v>
      </c>
      <c r="AY41" s="1">
        <v>2654</v>
      </c>
      <c r="AZ41" s="1">
        <v>3757</v>
      </c>
      <c r="BA41" s="1">
        <v>1784</v>
      </c>
      <c r="BB41" s="1">
        <v>1973</v>
      </c>
      <c r="BC41" s="1">
        <v>1924</v>
      </c>
      <c r="BD41" s="1">
        <v>852</v>
      </c>
      <c r="BE41" s="1">
        <v>1072</v>
      </c>
      <c r="BF41" s="1">
        <v>4114</v>
      </c>
      <c r="BG41" s="1">
        <v>1546</v>
      </c>
      <c r="BH41" s="1">
        <v>2568</v>
      </c>
      <c r="BI41" s="1">
        <v>1526</v>
      </c>
      <c r="BJ41" s="1">
        <v>660</v>
      </c>
      <c r="BK41" s="1">
        <v>866</v>
      </c>
      <c r="BL41" s="1">
        <v>1262</v>
      </c>
      <c r="BM41" s="1">
        <v>497</v>
      </c>
      <c r="BN41" s="1">
        <v>765</v>
      </c>
      <c r="BO41" s="1">
        <v>799</v>
      </c>
      <c r="BP41" s="1">
        <v>264</v>
      </c>
      <c r="BQ41" s="1">
        <v>535</v>
      </c>
      <c r="BR41" s="1">
        <v>527</v>
      </c>
      <c r="BS41" s="1">
        <v>125</v>
      </c>
      <c r="BT41" s="1">
        <v>402</v>
      </c>
      <c r="BU41" s="1">
        <v>3815</v>
      </c>
      <c r="BV41" s="1">
        <v>71.48</v>
      </c>
      <c r="BW41" s="1">
        <v>37.21</v>
      </c>
      <c r="BX41" s="1">
        <v>19.82</v>
      </c>
      <c r="BY41" s="1">
        <v>77</v>
      </c>
      <c r="BZ41" s="1">
        <v>21</v>
      </c>
      <c r="CA41" s="1">
        <v>42</v>
      </c>
      <c r="CB41" s="1">
        <v>10</v>
      </c>
      <c r="CC41" s="1">
        <v>4</v>
      </c>
      <c r="CD41" s="1">
        <v>15.7</v>
      </c>
      <c r="CE41" s="1">
        <v>0.21</v>
      </c>
      <c r="CF41" s="1">
        <v>9.16</v>
      </c>
      <c r="CG41" s="1">
        <v>885</v>
      </c>
      <c r="CH41" s="1">
        <v>557</v>
      </c>
      <c r="CI41" s="1">
        <v>328</v>
      </c>
      <c r="CJ41" s="1">
        <v>435</v>
      </c>
      <c r="CK41" s="1">
        <v>272</v>
      </c>
      <c r="CL41" s="1">
        <v>163</v>
      </c>
      <c r="CM41" s="1">
        <v>3776.11</v>
      </c>
      <c r="CN41" s="1">
        <v>100.8</v>
      </c>
    </row>
    <row r="42" spans="1:92" x14ac:dyDescent="0.25">
      <c r="A42">
        <v>1462000</v>
      </c>
      <c r="B42" t="s">
        <v>45</v>
      </c>
      <c r="C42" s="1" t="s">
        <v>133</v>
      </c>
      <c r="D42" s="1" t="s">
        <v>133</v>
      </c>
      <c r="E42" s="1" t="s">
        <v>133</v>
      </c>
      <c r="F42" s="1">
        <v>8219</v>
      </c>
      <c r="G42" s="1">
        <v>176153</v>
      </c>
      <c r="H42" s="1">
        <v>2</v>
      </c>
      <c r="I42" s="1">
        <v>6000.3</v>
      </c>
      <c r="J42" s="1">
        <v>72</v>
      </c>
      <c r="K42" s="1">
        <v>8242</v>
      </c>
      <c r="L42" s="1">
        <v>15.1</v>
      </c>
      <c r="M42" s="1">
        <v>123627</v>
      </c>
      <c r="N42" s="1">
        <v>58530</v>
      </c>
      <c r="O42" s="1">
        <v>65097</v>
      </c>
      <c r="P42" s="1">
        <v>6483</v>
      </c>
      <c r="Q42" s="1">
        <v>3374</v>
      </c>
      <c r="R42" s="1">
        <v>3109</v>
      </c>
      <c r="S42" s="1">
        <v>5665</v>
      </c>
      <c r="T42" s="1">
        <v>2886</v>
      </c>
      <c r="U42" s="1">
        <v>2779</v>
      </c>
      <c r="V42" s="1">
        <v>5318</v>
      </c>
      <c r="W42" s="1">
        <v>2725</v>
      </c>
      <c r="X42" s="1">
        <v>2593</v>
      </c>
      <c r="Y42" s="1">
        <v>6781</v>
      </c>
      <c r="Z42" s="1">
        <v>3404</v>
      </c>
      <c r="AA42" s="1">
        <v>3377</v>
      </c>
      <c r="AB42" s="1">
        <v>7719</v>
      </c>
      <c r="AC42" s="1">
        <v>3941</v>
      </c>
      <c r="AD42" s="1">
        <v>3778</v>
      </c>
      <c r="AE42" s="1">
        <v>9590</v>
      </c>
      <c r="AF42" s="1">
        <v>4856</v>
      </c>
      <c r="AG42" s="1">
        <v>4734</v>
      </c>
      <c r="AH42" s="1">
        <v>10533</v>
      </c>
      <c r="AI42" s="1">
        <v>5271</v>
      </c>
      <c r="AJ42" s="1">
        <v>5262</v>
      </c>
      <c r="AK42" s="1">
        <v>10139</v>
      </c>
      <c r="AL42" s="1">
        <v>5091</v>
      </c>
      <c r="AM42" s="1">
        <v>5048</v>
      </c>
      <c r="AN42" s="1">
        <v>8105</v>
      </c>
      <c r="AO42" s="1">
        <v>3971</v>
      </c>
      <c r="AP42" s="1">
        <v>4134</v>
      </c>
      <c r="AQ42" s="1">
        <v>7479</v>
      </c>
      <c r="AR42" s="1">
        <v>3614</v>
      </c>
      <c r="AS42" s="1">
        <v>3865</v>
      </c>
      <c r="AT42" s="1">
        <v>8312</v>
      </c>
      <c r="AU42" s="1">
        <v>3830</v>
      </c>
      <c r="AV42" s="1">
        <v>4482</v>
      </c>
      <c r="AW42" s="1">
        <v>10066</v>
      </c>
      <c r="AX42" s="1">
        <v>4384</v>
      </c>
      <c r="AY42" s="1">
        <v>5682</v>
      </c>
      <c r="AZ42" s="1">
        <v>9603</v>
      </c>
      <c r="BA42" s="1">
        <v>4221</v>
      </c>
      <c r="BB42" s="1">
        <v>5382</v>
      </c>
      <c r="BC42" s="1">
        <v>6322</v>
      </c>
      <c r="BD42" s="1">
        <v>2694</v>
      </c>
      <c r="BE42" s="1">
        <v>3628</v>
      </c>
      <c r="BF42" s="1">
        <v>11512</v>
      </c>
      <c r="BG42" s="1">
        <v>4268</v>
      </c>
      <c r="BH42" s="1">
        <v>7244</v>
      </c>
      <c r="BI42" s="1">
        <v>4465</v>
      </c>
      <c r="BJ42" s="1">
        <v>1844</v>
      </c>
      <c r="BK42" s="1">
        <v>2621</v>
      </c>
      <c r="BL42" s="1">
        <v>3425</v>
      </c>
      <c r="BM42" s="1">
        <v>1354</v>
      </c>
      <c r="BN42" s="1">
        <v>2071</v>
      </c>
      <c r="BO42" s="1">
        <v>2140</v>
      </c>
      <c r="BP42" s="1">
        <v>730</v>
      </c>
      <c r="BQ42" s="1">
        <v>1410</v>
      </c>
      <c r="BR42" s="1">
        <v>1482</v>
      </c>
      <c r="BS42" s="1">
        <v>340</v>
      </c>
      <c r="BT42" s="1">
        <v>1142</v>
      </c>
      <c r="BU42" s="1">
        <v>4826</v>
      </c>
      <c r="BV42" s="1">
        <v>38.9</v>
      </c>
      <c r="BW42" s="1">
        <v>26.45</v>
      </c>
      <c r="BX42" s="1">
        <v>4.58</v>
      </c>
      <c r="BY42" s="1">
        <v>630</v>
      </c>
      <c r="BZ42" s="1">
        <v>153</v>
      </c>
      <c r="CA42" s="1">
        <v>338</v>
      </c>
      <c r="CB42" s="1">
        <v>112</v>
      </c>
      <c r="CC42" s="1">
        <v>27</v>
      </c>
      <c r="CD42" s="1">
        <v>12.8</v>
      </c>
      <c r="CE42" s="1">
        <v>0.54</v>
      </c>
      <c r="CF42" s="1">
        <v>8.69</v>
      </c>
      <c r="CG42" s="1">
        <v>7943</v>
      </c>
      <c r="CH42" s="1">
        <v>4485</v>
      </c>
      <c r="CI42" s="1">
        <v>3458</v>
      </c>
      <c r="CJ42" s="1">
        <v>2609</v>
      </c>
      <c r="CK42" s="1">
        <v>1626</v>
      </c>
      <c r="CL42" s="1">
        <v>983</v>
      </c>
      <c r="CM42" s="1">
        <v>4618.2</v>
      </c>
      <c r="CN42" s="1">
        <v>123.3</v>
      </c>
    </row>
    <row r="43" spans="1:92" x14ac:dyDescent="0.25">
      <c r="A43">
        <v>1463000</v>
      </c>
      <c r="B43" t="s">
        <v>46</v>
      </c>
      <c r="C43" s="1" t="s">
        <v>133</v>
      </c>
      <c r="D43" s="1" t="s">
        <v>133</v>
      </c>
      <c r="E43" s="1" t="s">
        <v>133</v>
      </c>
      <c r="F43" s="1">
        <v>1735</v>
      </c>
      <c r="G43" s="1">
        <v>28673</v>
      </c>
      <c r="H43" s="1">
        <v>3</v>
      </c>
      <c r="I43" s="1">
        <v>3147.9</v>
      </c>
      <c r="J43" s="1">
        <v>84</v>
      </c>
      <c r="K43" s="1">
        <v>12924</v>
      </c>
      <c r="L43" s="1">
        <v>14.8</v>
      </c>
      <c r="M43" s="1">
        <v>219703</v>
      </c>
      <c r="N43" s="1">
        <v>104506</v>
      </c>
      <c r="O43" s="1">
        <v>115197</v>
      </c>
      <c r="P43" s="1">
        <v>10941</v>
      </c>
      <c r="Q43" s="1">
        <v>5664</v>
      </c>
      <c r="R43" s="1">
        <v>5277</v>
      </c>
      <c r="S43" s="1">
        <v>10361</v>
      </c>
      <c r="T43" s="1">
        <v>5297</v>
      </c>
      <c r="U43" s="1">
        <v>5064</v>
      </c>
      <c r="V43" s="1">
        <v>10240</v>
      </c>
      <c r="W43" s="1">
        <v>5317</v>
      </c>
      <c r="X43" s="1">
        <v>4923</v>
      </c>
      <c r="Y43" s="1">
        <v>12368</v>
      </c>
      <c r="Z43" s="1">
        <v>6325</v>
      </c>
      <c r="AA43" s="1">
        <v>6043</v>
      </c>
      <c r="AB43" s="1">
        <v>14998</v>
      </c>
      <c r="AC43" s="1">
        <v>7820</v>
      </c>
      <c r="AD43" s="1">
        <v>7178</v>
      </c>
      <c r="AE43" s="1">
        <v>17784</v>
      </c>
      <c r="AF43" s="1">
        <v>9147</v>
      </c>
      <c r="AG43" s="1">
        <v>8637</v>
      </c>
      <c r="AH43" s="1">
        <v>18634</v>
      </c>
      <c r="AI43" s="1">
        <v>9582</v>
      </c>
      <c r="AJ43" s="1">
        <v>9052</v>
      </c>
      <c r="AK43" s="1">
        <v>16253</v>
      </c>
      <c r="AL43" s="1">
        <v>8210</v>
      </c>
      <c r="AM43" s="1">
        <v>8043</v>
      </c>
      <c r="AN43" s="1">
        <v>13409</v>
      </c>
      <c r="AO43" s="1">
        <v>6663</v>
      </c>
      <c r="AP43" s="1">
        <v>6746</v>
      </c>
      <c r="AQ43" s="1">
        <v>12896</v>
      </c>
      <c r="AR43" s="1">
        <v>6164</v>
      </c>
      <c r="AS43" s="1">
        <v>6732</v>
      </c>
      <c r="AT43" s="1">
        <v>15733</v>
      </c>
      <c r="AU43" s="1">
        <v>7337</v>
      </c>
      <c r="AV43" s="1">
        <v>8396</v>
      </c>
      <c r="AW43" s="1">
        <v>18624</v>
      </c>
      <c r="AX43" s="1">
        <v>8527</v>
      </c>
      <c r="AY43" s="1">
        <v>10097</v>
      </c>
      <c r="AZ43" s="1">
        <v>14992</v>
      </c>
      <c r="BA43" s="1">
        <v>6452</v>
      </c>
      <c r="BB43" s="1">
        <v>8540</v>
      </c>
      <c r="BC43" s="1">
        <v>10153</v>
      </c>
      <c r="BD43" s="1">
        <v>4284</v>
      </c>
      <c r="BE43" s="1">
        <v>5869</v>
      </c>
      <c r="BF43" s="1">
        <v>22317</v>
      </c>
      <c r="BG43" s="1">
        <v>7717</v>
      </c>
      <c r="BH43" s="1">
        <v>14600</v>
      </c>
      <c r="BI43" s="1">
        <v>7145</v>
      </c>
      <c r="BJ43" s="1">
        <v>2667</v>
      </c>
      <c r="BK43" s="1">
        <v>4478</v>
      </c>
      <c r="BL43" s="1">
        <v>6941</v>
      </c>
      <c r="BM43" s="1">
        <v>2522</v>
      </c>
      <c r="BN43" s="1">
        <v>4419</v>
      </c>
      <c r="BO43" s="1">
        <v>5086</v>
      </c>
      <c r="BP43" s="1">
        <v>1706</v>
      </c>
      <c r="BQ43" s="1">
        <v>3380</v>
      </c>
      <c r="BR43" s="1">
        <v>3145</v>
      </c>
      <c r="BS43" s="1">
        <v>822</v>
      </c>
      <c r="BT43" s="1">
        <v>2323</v>
      </c>
      <c r="BU43" s="1">
        <v>8798</v>
      </c>
      <c r="BV43" s="1">
        <v>39.979999999999997</v>
      </c>
      <c r="BW43" s="1">
        <v>26.92</v>
      </c>
      <c r="BX43" s="1">
        <v>3.05</v>
      </c>
      <c r="BY43" s="1">
        <v>417</v>
      </c>
      <c r="BZ43" s="1">
        <v>93</v>
      </c>
      <c r="CA43" s="1">
        <v>185</v>
      </c>
      <c r="CB43" s="1">
        <v>118</v>
      </c>
      <c r="CC43" s="1">
        <v>21</v>
      </c>
      <c r="CD43" s="1">
        <v>22.6</v>
      </c>
      <c r="CE43" s="1">
        <v>0.39</v>
      </c>
      <c r="CF43" s="1">
        <v>5.07</v>
      </c>
      <c r="CG43" s="1">
        <v>13257</v>
      </c>
      <c r="CH43" s="1">
        <v>7176</v>
      </c>
      <c r="CI43" s="1">
        <v>6081</v>
      </c>
      <c r="CJ43" s="1">
        <v>4144</v>
      </c>
      <c r="CK43" s="1">
        <v>2452</v>
      </c>
      <c r="CL43" s="1">
        <v>1692</v>
      </c>
      <c r="CM43" s="1">
        <v>3411.51</v>
      </c>
      <c r="CN43" s="1">
        <v>91.1</v>
      </c>
    </row>
    <row r="44" spans="1:92" x14ac:dyDescent="0.25">
      <c r="A44">
        <v>1464000</v>
      </c>
      <c r="B44" t="s">
        <v>47</v>
      </c>
      <c r="C44" s="1" t="s">
        <v>133</v>
      </c>
      <c r="D44" s="1" t="s">
        <v>133</v>
      </c>
      <c r="E44" s="1" t="s">
        <v>133</v>
      </c>
      <c r="F44" s="1">
        <v>2371</v>
      </c>
      <c r="G44" s="1">
        <v>33423</v>
      </c>
      <c r="H44" s="1">
        <v>1</v>
      </c>
      <c r="I44" s="1">
        <v>937.4</v>
      </c>
      <c r="J44" s="1">
        <v>84</v>
      </c>
      <c r="K44" s="1">
        <v>8488</v>
      </c>
      <c r="L44" s="1">
        <v>19.2</v>
      </c>
      <c r="M44" s="1">
        <v>76393</v>
      </c>
      <c r="N44" s="1">
        <v>36157</v>
      </c>
      <c r="O44" s="1">
        <v>40236</v>
      </c>
      <c r="P44" s="1">
        <v>4416</v>
      </c>
      <c r="Q44" s="1">
        <v>2240</v>
      </c>
      <c r="R44" s="1">
        <v>2176</v>
      </c>
      <c r="S44" s="1">
        <v>3939</v>
      </c>
      <c r="T44" s="1">
        <v>2058</v>
      </c>
      <c r="U44" s="1">
        <v>1881</v>
      </c>
      <c r="V44" s="1">
        <v>3566</v>
      </c>
      <c r="W44" s="1">
        <v>1846</v>
      </c>
      <c r="X44" s="1">
        <v>1720</v>
      </c>
      <c r="Y44" s="1">
        <v>4272</v>
      </c>
      <c r="Z44" s="1">
        <v>2226</v>
      </c>
      <c r="AA44" s="1">
        <v>2046</v>
      </c>
      <c r="AB44" s="1">
        <v>5311</v>
      </c>
      <c r="AC44" s="1">
        <v>2625</v>
      </c>
      <c r="AD44" s="1">
        <v>2686</v>
      </c>
      <c r="AE44" s="1">
        <v>6803</v>
      </c>
      <c r="AF44" s="1">
        <v>3378</v>
      </c>
      <c r="AG44" s="1">
        <v>3425</v>
      </c>
      <c r="AH44" s="1">
        <v>6990</v>
      </c>
      <c r="AI44" s="1">
        <v>3577</v>
      </c>
      <c r="AJ44" s="1">
        <v>3413</v>
      </c>
      <c r="AK44" s="1">
        <v>5806</v>
      </c>
      <c r="AL44" s="1">
        <v>2833</v>
      </c>
      <c r="AM44" s="1">
        <v>2973</v>
      </c>
      <c r="AN44" s="1">
        <v>4489</v>
      </c>
      <c r="AO44" s="1">
        <v>2205</v>
      </c>
      <c r="AP44" s="1">
        <v>2284</v>
      </c>
      <c r="AQ44" s="1">
        <v>4178</v>
      </c>
      <c r="AR44" s="1">
        <v>1927</v>
      </c>
      <c r="AS44" s="1">
        <v>2251</v>
      </c>
      <c r="AT44" s="1">
        <v>5159</v>
      </c>
      <c r="AU44" s="1">
        <v>2270</v>
      </c>
      <c r="AV44" s="1">
        <v>2889</v>
      </c>
      <c r="AW44" s="1">
        <v>6379</v>
      </c>
      <c r="AX44" s="1">
        <v>2809</v>
      </c>
      <c r="AY44" s="1">
        <v>3570</v>
      </c>
      <c r="AZ44" s="1">
        <v>5392</v>
      </c>
      <c r="BA44" s="1">
        <v>2437</v>
      </c>
      <c r="BB44" s="1">
        <v>2955</v>
      </c>
      <c r="BC44" s="1">
        <v>3320</v>
      </c>
      <c r="BD44" s="1">
        <v>1449</v>
      </c>
      <c r="BE44" s="1">
        <v>1871</v>
      </c>
      <c r="BF44" s="1">
        <v>6373</v>
      </c>
      <c r="BG44" s="1">
        <v>2277</v>
      </c>
      <c r="BH44" s="1">
        <v>4096</v>
      </c>
      <c r="BI44" s="1">
        <v>2193</v>
      </c>
      <c r="BJ44" s="1">
        <v>893</v>
      </c>
      <c r="BK44" s="1">
        <v>1300</v>
      </c>
      <c r="BL44" s="1">
        <v>1914</v>
      </c>
      <c r="BM44" s="1">
        <v>692</v>
      </c>
      <c r="BN44" s="1">
        <v>1222</v>
      </c>
      <c r="BO44" s="1">
        <v>1324</v>
      </c>
      <c r="BP44" s="1">
        <v>441</v>
      </c>
      <c r="BQ44" s="1">
        <v>883</v>
      </c>
      <c r="BR44" s="1">
        <v>942</v>
      </c>
      <c r="BS44" s="1">
        <v>251</v>
      </c>
      <c r="BT44" s="1">
        <v>691</v>
      </c>
      <c r="BU44" s="1">
        <v>3313</v>
      </c>
      <c r="BV44" s="1">
        <v>43.31</v>
      </c>
      <c r="BW44" s="1">
        <v>28.38</v>
      </c>
      <c r="BX44" s="1">
        <v>4.6500000000000004</v>
      </c>
      <c r="BY44" s="1">
        <v>562</v>
      </c>
      <c r="BZ44" s="1">
        <v>103</v>
      </c>
      <c r="CA44" s="1">
        <v>297</v>
      </c>
      <c r="CB44" s="1">
        <v>142</v>
      </c>
      <c r="CC44" s="1">
        <v>20</v>
      </c>
      <c r="CD44" s="1">
        <v>11.5</v>
      </c>
      <c r="CE44" s="1">
        <v>0.28000000000000003</v>
      </c>
      <c r="CF44" s="1">
        <v>8.02</v>
      </c>
      <c r="CG44" s="1">
        <v>10411</v>
      </c>
      <c r="CH44" s="1">
        <v>6608</v>
      </c>
      <c r="CI44" s="1">
        <v>3803</v>
      </c>
      <c r="CJ44" s="1">
        <v>4467</v>
      </c>
      <c r="CK44" s="1">
        <v>3130</v>
      </c>
      <c r="CL44" s="1">
        <v>1337</v>
      </c>
      <c r="CM44" s="1">
        <v>3470.66</v>
      </c>
      <c r="CN44" s="1">
        <v>92.7</v>
      </c>
    </row>
    <row r="45" spans="1:92" x14ac:dyDescent="0.25">
      <c r="A45">
        <v>1465000</v>
      </c>
      <c r="B45" t="s">
        <v>48</v>
      </c>
      <c r="C45" s="1" t="s">
        <v>133</v>
      </c>
      <c r="D45" s="1" t="s">
        <v>133</v>
      </c>
      <c r="E45" s="1" t="s">
        <v>133</v>
      </c>
      <c r="F45" s="1">
        <v>10508</v>
      </c>
      <c r="G45" s="1">
        <v>150085</v>
      </c>
      <c r="H45" s="1">
        <v>61</v>
      </c>
      <c r="I45" s="1">
        <v>34800.699999999997</v>
      </c>
      <c r="J45" s="1">
        <v>57</v>
      </c>
      <c r="K45" s="1">
        <v>6548</v>
      </c>
      <c r="L45" s="1">
        <v>14.6</v>
      </c>
      <c r="M45" s="1">
        <v>1715517</v>
      </c>
      <c r="N45" s="1">
        <v>786888</v>
      </c>
      <c r="O45" s="1">
        <v>928629</v>
      </c>
      <c r="P45" s="1">
        <v>96858</v>
      </c>
      <c r="Q45" s="1">
        <v>49994</v>
      </c>
      <c r="R45" s="1">
        <v>46864</v>
      </c>
      <c r="S45" s="1">
        <v>76998</v>
      </c>
      <c r="T45" s="1">
        <v>39180</v>
      </c>
      <c r="U45" s="1">
        <v>37818</v>
      </c>
      <c r="V45" s="1">
        <v>60059</v>
      </c>
      <c r="W45" s="1">
        <v>30672</v>
      </c>
      <c r="X45" s="1">
        <v>29387</v>
      </c>
      <c r="Y45" s="1">
        <v>63740</v>
      </c>
      <c r="Z45" s="1">
        <v>32451</v>
      </c>
      <c r="AA45" s="1">
        <v>31289</v>
      </c>
      <c r="AB45" s="1">
        <v>94397</v>
      </c>
      <c r="AC45" s="1">
        <v>46421</v>
      </c>
      <c r="AD45" s="1">
        <v>47976</v>
      </c>
      <c r="AE45" s="1">
        <v>144054</v>
      </c>
      <c r="AF45" s="1">
        <v>68501</v>
      </c>
      <c r="AG45" s="1">
        <v>75553</v>
      </c>
      <c r="AH45" s="1">
        <v>161108</v>
      </c>
      <c r="AI45" s="1">
        <v>75908</v>
      </c>
      <c r="AJ45" s="1">
        <v>85200</v>
      </c>
      <c r="AK45" s="1">
        <v>150436</v>
      </c>
      <c r="AL45" s="1">
        <v>71631</v>
      </c>
      <c r="AM45" s="1">
        <v>78805</v>
      </c>
      <c r="AN45" s="1">
        <v>105868</v>
      </c>
      <c r="AO45" s="1">
        <v>51485</v>
      </c>
      <c r="AP45" s="1">
        <v>54383</v>
      </c>
      <c r="AQ45" s="1">
        <v>88730</v>
      </c>
      <c r="AR45" s="1">
        <v>42770</v>
      </c>
      <c r="AS45" s="1">
        <v>45960</v>
      </c>
      <c r="AT45" s="1">
        <v>105446</v>
      </c>
      <c r="AU45" s="1">
        <v>48698</v>
      </c>
      <c r="AV45" s="1">
        <v>56748</v>
      </c>
      <c r="AW45" s="1">
        <v>137463</v>
      </c>
      <c r="AX45" s="1">
        <v>61242</v>
      </c>
      <c r="AY45" s="1">
        <v>76221</v>
      </c>
      <c r="AZ45" s="1">
        <v>122154</v>
      </c>
      <c r="BA45" s="1">
        <v>53205</v>
      </c>
      <c r="BB45" s="1">
        <v>68949</v>
      </c>
      <c r="BC45" s="1">
        <v>84709</v>
      </c>
      <c r="BD45" s="1">
        <v>34967</v>
      </c>
      <c r="BE45" s="1">
        <v>49742</v>
      </c>
      <c r="BF45" s="1">
        <v>223497</v>
      </c>
      <c r="BG45" s="1">
        <v>79763</v>
      </c>
      <c r="BH45" s="1">
        <v>143734</v>
      </c>
      <c r="BI45" s="1">
        <v>65891</v>
      </c>
      <c r="BJ45" s="1">
        <v>25127</v>
      </c>
      <c r="BK45" s="1">
        <v>40764</v>
      </c>
      <c r="BL45" s="1">
        <v>65483</v>
      </c>
      <c r="BM45" s="1">
        <v>23572</v>
      </c>
      <c r="BN45" s="1">
        <v>41911</v>
      </c>
      <c r="BO45" s="1">
        <v>54344</v>
      </c>
      <c r="BP45" s="1">
        <v>19511</v>
      </c>
      <c r="BQ45" s="1">
        <v>34833</v>
      </c>
      <c r="BR45" s="1">
        <v>37779</v>
      </c>
      <c r="BS45" s="1">
        <v>11553</v>
      </c>
      <c r="BT45" s="1">
        <v>26226</v>
      </c>
      <c r="BU45" s="1">
        <v>57087</v>
      </c>
      <c r="BV45" s="1">
        <v>33.36</v>
      </c>
      <c r="BW45" s="1">
        <v>27.83</v>
      </c>
      <c r="BX45" s="1">
        <v>2.95</v>
      </c>
      <c r="BY45" s="1">
        <v>10604</v>
      </c>
      <c r="BZ45" s="1">
        <v>2736</v>
      </c>
      <c r="CA45" s="1">
        <v>4257</v>
      </c>
      <c r="CB45" s="1">
        <v>1920</v>
      </c>
      <c r="CC45" s="1">
        <v>1691</v>
      </c>
      <c r="CD45" s="1">
        <v>4.3</v>
      </c>
      <c r="CE45" s="1">
        <v>6.26</v>
      </c>
      <c r="CF45" s="1">
        <v>5.29</v>
      </c>
      <c r="CG45" s="1">
        <v>268555</v>
      </c>
      <c r="CH45" s="1">
        <v>154012</v>
      </c>
      <c r="CI45" s="1">
        <v>114543</v>
      </c>
      <c r="CJ45" s="1">
        <v>69272</v>
      </c>
      <c r="CK45" s="1">
        <v>44059</v>
      </c>
      <c r="CL45" s="1">
        <v>25213</v>
      </c>
      <c r="CM45" s="1">
        <v>5077.53</v>
      </c>
      <c r="CN45" s="1">
        <v>135.6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01FE-5C8C-40E2-BAB9-A200ED469449}">
  <dimension ref="B2:C5"/>
  <sheetViews>
    <sheetView workbookViewId="0">
      <selection activeCell="K5" sqref="K5"/>
    </sheetView>
  </sheetViews>
  <sheetFormatPr defaultRowHeight="15" x14ac:dyDescent="0.25"/>
  <sheetData>
    <row r="2" spans="2:3" x14ac:dyDescent="0.25">
      <c r="B2" t="e" cm="1" vm="1">
        <f t="array" ref="B2">_xlfn._xlws.PY(0,1,data_raw!A2:CN45)</f>
        <v>#VALUE!</v>
      </c>
    </row>
    <row r="3" spans="2:3" x14ac:dyDescent="0.25">
      <c r="B3" cm="1" vm="2">
        <f t="array" ref="B3">_xlfn._xlws.PY(1,1)</f>
        <v>0</v>
      </c>
    </row>
    <row r="4" spans="2:3" x14ac:dyDescent="0.25">
      <c r="B4" t="e" cm="1" vm="3">
        <f t="array" ref="B4">_xlfn._xlws.PY(2,1)</f>
        <v>#VALUE!</v>
      </c>
    </row>
    <row r="5" spans="2:3" x14ac:dyDescent="0.25">
      <c r="B5" t="e" cm="1" vm="4">
        <f t="array" ref="B5">_xlfn._xlws.PY(3,1)</f>
        <v>#VALUE!</v>
      </c>
      <c r="C5" t="e" cm="1" vm="5">
        <f t="array" ref="C5">_FV(B5,"image")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data_raw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 Wieliński</dc:creator>
  <cp:lastModifiedBy>Olek Wieliński</cp:lastModifiedBy>
  <dcterms:created xsi:type="dcterms:W3CDTF">2015-06-05T18:17:20Z</dcterms:created>
  <dcterms:modified xsi:type="dcterms:W3CDTF">2023-12-28T11:26:36Z</dcterms:modified>
</cp:coreProperties>
</file>