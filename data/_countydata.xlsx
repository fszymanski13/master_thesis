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3"/>
  <workbookPr/>
  <mc:AlternateContent xmlns:mc="http://schemas.openxmlformats.org/markup-compatibility/2006">
    <mc:Choice Requires="x15">
      <x15ac:absPath xmlns:x15ac="http://schemas.microsoft.com/office/spreadsheetml/2010/11/ac" url="C:\Users\olekw\Desktop\Studia\MAG  - WNE - Praca magisterska\_____final_remarks\master_thesis\data\"/>
    </mc:Choice>
  </mc:AlternateContent>
  <xr:revisionPtr revIDLastSave="0" documentId="13_ncr:1_{C38421AE-A39A-4344-8415-24F33AE54D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_ra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2" l="1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3" i="2"/>
  <c r="X3" i="2"/>
  <c r="Y3" i="2"/>
  <c r="Z3" i="2"/>
  <c r="W3" i="2"/>
  <c r="AA3" i="2" s="1"/>
</calcChain>
</file>

<file path=xl/sharedStrings.xml><?xml version="1.0" encoding="utf-8"?>
<sst xmlns="http://schemas.openxmlformats.org/spreadsheetml/2006/main" count="73" uniqueCount="73">
  <si>
    <t>MAZOWIECKIE</t>
  </si>
  <si>
    <t>exp_per1</t>
  </si>
  <si>
    <t>inc_per1</t>
  </si>
  <si>
    <t>UE_fin</t>
  </si>
  <si>
    <t>inv_per1</t>
  </si>
  <si>
    <t>museums</t>
  </si>
  <si>
    <t>mus_visitors</t>
  </si>
  <si>
    <t>cinemas_spaces</t>
  </si>
  <si>
    <t>pop_per_1lib</t>
  </si>
  <si>
    <t>book_rentals_per1</t>
  </si>
  <si>
    <t>crime</t>
  </si>
  <si>
    <t>crime_per1k</t>
  </si>
  <si>
    <t>apts_bought</t>
  </si>
  <si>
    <t>unemployment</t>
  </si>
  <si>
    <t>work_accidents</t>
  </si>
  <si>
    <t>work_accidents_per1k</t>
  </si>
  <si>
    <t>students</t>
  </si>
  <si>
    <t>graduates</t>
  </si>
  <si>
    <t>avg_salary</t>
  </si>
  <si>
    <t>avg_salary_to_PL</t>
  </si>
  <si>
    <t>hipermarkets</t>
  </si>
  <si>
    <t>supermarkets</t>
  </si>
  <si>
    <t>depos</t>
  </si>
  <si>
    <t>stores</t>
  </si>
  <si>
    <t>all_stores</t>
  </si>
  <si>
    <t>apts_available</t>
  </si>
  <si>
    <t>buses</t>
  </si>
  <si>
    <t>Code</t>
  </si>
  <si>
    <t>Name</t>
  </si>
  <si>
    <t>schools</t>
  </si>
  <si>
    <t>POWIAT</t>
  </si>
  <si>
    <t>powiat białobrzeski</t>
  </si>
  <si>
    <t>powiat ciechanowski</t>
  </si>
  <si>
    <t>powiat garwoliński</t>
  </si>
  <si>
    <t>powiat gostyniński</t>
  </si>
  <si>
    <t>powiat grójecki</t>
  </si>
  <si>
    <t>powiat grodziski</t>
  </si>
  <si>
    <t>powiat kozienicki</t>
  </si>
  <si>
    <t>powiat legionowski</t>
  </si>
  <si>
    <t>powiat lipski</t>
  </si>
  <si>
    <t>powiat makowski</t>
  </si>
  <si>
    <t>powiat nowodworski</t>
  </si>
  <si>
    <t>powiat ostrowski</t>
  </si>
  <si>
    <t>powiat otwocki</t>
  </si>
  <si>
    <t>powiat pruszkowski</t>
  </si>
  <si>
    <t>powiat przasnyski</t>
  </si>
  <si>
    <t>powiat przysuski</t>
  </si>
  <si>
    <t>powiat radomski</t>
  </si>
  <si>
    <t>powiat siedlecki</t>
  </si>
  <si>
    <t>powiat sierpecki</t>
  </si>
  <si>
    <t>powiat sochaczewski</t>
  </si>
  <si>
    <t>powiat warszawski zachodni</t>
  </si>
  <si>
    <t>powiat wyszkowski</t>
  </si>
  <si>
    <t>powiat łosicki</t>
  </si>
  <si>
    <t>powiat miński</t>
  </si>
  <si>
    <t>powiat mławski</t>
  </si>
  <si>
    <t>powiat płocki</t>
  </si>
  <si>
    <t>powiat pułtuski</t>
  </si>
  <si>
    <t>powiat sokołowski</t>
  </si>
  <si>
    <t>powiat szydłowiecki</t>
  </si>
  <si>
    <t>powiat ostrołęcki</t>
  </si>
  <si>
    <t>powiat węgrowski</t>
  </si>
  <si>
    <t>powiat piaseczyński</t>
  </si>
  <si>
    <t>powiat płoński</t>
  </si>
  <si>
    <t>powiat wołomiński</t>
  </si>
  <si>
    <t>powiat zwoleński</t>
  </si>
  <si>
    <t>powiat żuromiński</t>
  </si>
  <si>
    <t>powiat żyrardowski</t>
  </si>
  <si>
    <t>powiat Radom</t>
  </si>
  <si>
    <t>powiat Siedlce</t>
  </si>
  <si>
    <t>powiat Ostrołęka</t>
  </si>
  <si>
    <t>powiat Płock</t>
  </si>
  <si>
    <t>powiat 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</si>
</sst>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8461-76CE-4889-BB33-B8C8FC14D44F}">
  <dimension ref="A1:AH50"/>
  <sheetViews>
    <sheetView tabSelected="1" topLeftCell="B4" workbookViewId="0">
      <selection activeCell="C45" sqref="C45"/>
    </sheetView>
  </sheetViews>
  <sheetFormatPr defaultRowHeight="15" x14ac:dyDescent="0.25"/>
  <cols>
    <col min="3" max="3" width="26.42578125" customWidth="1"/>
    <col min="4" max="4" width="9.28515625" bestFit="1" customWidth="1"/>
    <col min="5" max="5" width="8.5703125" bestFit="1" customWidth="1"/>
    <col min="6" max="6" width="12" bestFit="1" customWidth="1"/>
    <col min="7" max="7" width="8.7109375" bestFit="1" customWidth="1"/>
    <col min="8" max="8" width="9.5703125" bestFit="1" customWidth="1"/>
    <col min="9" max="9" width="12.140625" bestFit="1" customWidth="1"/>
    <col min="10" max="10" width="15.28515625" bestFit="1" customWidth="1"/>
    <col min="11" max="11" width="12.7109375" bestFit="1" customWidth="1"/>
    <col min="12" max="12" width="17.85546875" bestFit="1" customWidth="1"/>
    <col min="13" max="13" width="7" bestFit="1" customWidth="1"/>
    <col min="14" max="15" width="12" bestFit="1" customWidth="1"/>
    <col min="16" max="17" width="14.85546875" bestFit="1" customWidth="1"/>
    <col min="18" max="18" width="21" bestFit="1" customWidth="1"/>
    <col min="19" max="19" width="8.7109375" bestFit="1" customWidth="1"/>
    <col min="20" max="20" width="9.7109375" bestFit="1" customWidth="1"/>
    <col min="21" max="21" width="10.140625" bestFit="1" customWidth="1"/>
    <col min="22" max="22" width="16.140625" bestFit="1" customWidth="1"/>
    <col min="23" max="23" width="12.85546875" bestFit="1" customWidth="1"/>
    <col min="24" max="24" width="13.28515625" bestFit="1" customWidth="1"/>
    <col min="25" max="26" width="6.42578125" bestFit="1" customWidth="1"/>
    <col min="27" max="27" width="9.5703125" bestFit="1" customWidth="1"/>
    <col min="28" max="28" width="13.85546875" bestFit="1" customWidth="1"/>
    <col min="29" max="29" width="6.140625" bestFit="1" customWidth="1"/>
    <col min="30" max="30" width="6.140625" customWidth="1"/>
    <col min="31" max="31" width="8.7109375" customWidth="1"/>
  </cols>
  <sheetData>
    <row r="1" spans="1:34" x14ac:dyDescent="0.25">
      <c r="D1" s="1">
        <v>2414</v>
      </c>
      <c r="E1" s="1">
        <v>2410</v>
      </c>
      <c r="F1" s="1">
        <v>2910</v>
      </c>
      <c r="G1" s="1">
        <v>2755</v>
      </c>
      <c r="H1" s="1">
        <v>1679</v>
      </c>
      <c r="I1" s="1"/>
      <c r="J1" s="1">
        <v>2364</v>
      </c>
      <c r="K1" s="1">
        <v>2381</v>
      </c>
      <c r="L1" s="1"/>
      <c r="M1" s="1">
        <v>3362</v>
      </c>
      <c r="N1" s="1"/>
      <c r="O1" s="1">
        <v>3783</v>
      </c>
      <c r="P1" s="1">
        <v>2392</v>
      </c>
      <c r="Q1" s="1">
        <v>2276</v>
      </c>
      <c r="R1" s="1"/>
      <c r="S1" s="1">
        <v>3226</v>
      </c>
      <c r="T1" s="1"/>
      <c r="U1" s="1">
        <v>2497</v>
      </c>
      <c r="V1" s="1"/>
      <c r="W1">
        <v>2774</v>
      </c>
      <c r="AB1">
        <v>2166</v>
      </c>
      <c r="AC1">
        <v>1733</v>
      </c>
    </row>
    <row r="2" spans="1:34" x14ac:dyDescent="0.25">
      <c r="A2" t="s">
        <v>27</v>
      </c>
      <c r="B2" t="s">
        <v>30</v>
      </c>
      <c r="C2" t="s">
        <v>28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29</v>
      </c>
    </row>
    <row r="3" spans="1:34" x14ac:dyDescent="0.25">
      <c r="A3">
        <v>1400000</v>
      </c>
      <c r="B3" s="2" t="str">
        <f>MID(A3,3,2)</f>
        <v>00</v>
      </c>
      <c r="C3" t="s">
        <v>0</v>
      </c>
      <c r="D3" s="1">
        <v>866.61</v>
      </c>
      <c r="E3" s="1">
        <v>859.19</v>
      </c>
      <c r="F3" s="1">
        <v>117092646.31</v>
      </c>
      <c r="G3" s="1">
        <v>5256</v>
      </c>
      <c r="H3" s="1">
        <v>115</v>
      </c>
      <c r="I3" s="1">
        <v>12578.1</v>
      </c>
      <c r="J3" s="1">
        <v>119</v>
      </c>
      <c r="K3" s="1">
        <v>4846</v>
      </c>
      <c r="L3" s="1">
        <v>16</v>
      </c>
      <c r="M3" s="1">
        <v>142841</v>
      </c>
      <c r="N3" s="1">
        <v>26.99</v>
      </c>
      <c r="O3" s="1">
        <v>17251</v>
      </c>
      <c r="P3" s="1">
        <v>10.7</v>
      </c>
      <c r="Q3" s="1">
        <v>11.87</v>
      </c>
      <c r="R3" s="1">
        <v>5.47</v>
      </c>
      <c r="S3" s="1">
        <v>312033</v>
      </c>
      <c r="T3" s="1">
        <v>85053</v>
      </c>
      <c r="U3" s="1">
        <v>4637.58</v>
      </c>
      <c r="V3" s="1">
        <v>123.9</v>
      </c>
      <c r="W3">
        <f>SUM(W4:W45)</f>
        <v>73</v>
      </c>
      <c r="X3">
        <f t="shared" ref="X3:Z3" si="0">SUM(X4:X45)</f>
        <v>608</v>
      </c>
      <c r="Y3">
        <f t="shared" si="0"/>
        <v>10</v>
      </c>
      <c r="Z3">
        <f t="shared" si="0"/>
        <v>46</v>
      </c>
      <c r="AA3">
        <f>SUM(W3:Z3)</f>
        <v>737</v>
      </c>
      <c r="AB3">
        <v>2112511</v>
      </c>
      <c r="AC3">
        <v>15085</v>
      </c>
      <c r="AD3">
        <f>SUM(AE3:AH3)</f>
        <v>3755</v>
      </c>
      <c r="AE3">
        <v>314</v>
      </c>
      <c r="AF3">
        <v>687</v>
      </c>
      <c r="AG3">
        <v>1745</v>
      </c>
      <c r="AH3">
        <v>1009</v>
      </c>
    </row>
    <row r="4" spans="1:34" x14ac:dyDescent="0.25">
      <c r="A4">
        <v>1401000</v>
      </c>
      <c r="B4" s="2" t="str">
        <f t="shared" ref="B4:B45" si="1">MID(A4,3,2)</f>
        <v>01</v>
      </c>
      <c r="C4" t="s">
        <v>31</v>
      </c>
      <c r="D4" s="1">
        <v>1006.68</v>
      </c>
      <c r="E4" s="1">
        <v>970.87</v>
      </c>
      <c r="F4" s="1">
        <v>5996403.5499999998</v>
      </c>
      <c r="G4" s="1">
        <v>883</v>
      </c>
      <c r="H4" s="1">
        <v>0</v>
      </c>
      <c r="I4" s="1">
        <v>0</v>
      </c>
      <c r="J4" s="1">
        <v>0</v>
      </c>
      <c r="K4" s="1">
        <v>3376</v>
      </c>
      <c r="L4" s="1">
        <v>17.7</v>
      </c>
      <c r="M4" s="1">
        <v>748</v>
      </c>
      <c r="N4" s="1">
        <v>22.13</v>
      </c>
      <c r="O4" s="1">
        <v>0</v>
      </c>
      <c r="P4" s="1">
        <v>17</v>
      </c>
      <c r="Q4" s="1">
        <v>0.02</v>
      </c>
      <c r="R4" s="1">
        <v>3.49</v>
      </c>
      <c r="S4" s="1">
        <v>0</v>
      </c>
      <c r="T4" s="1">
        <v>0</v>
      </c>
      <c r="U4" s="1">
        <v>3355.88</v>
      </c>
      <c r="V4" s="1">
        <v>89.6</v>
      </c>
      <c r="W4">
        <v>0</v>
      </c>
      <c r="X4">
        <v>2</v>
      </c>
      <c r="Y4">
        <v>0</v>
      </c>
      <c r="Z4">
        <v>0</v>
      </c>
      <c r="AA4">
        <f t="shared" ref="AA4:AA45" si="2">SUM(W4:Z4)</f>
        <v>2</v>
      </c>
      <c r="AB4">
        <v>11509</v>
      </c>
      <c r="AC4">
        <v>97</v>
      </c>
      <c r="AD4">
        <f t="shared" ref="AD4:AD45" si="3">SUM(AE4:AH4)</f>
        <v>28</v>
      </c>
      <c r="AE4">
        <v>0</v>
      </c>
      <c r="AF4">
        <v>1</v>
      </c>
      <c r="AG4">
        <v>19</v>
      </c>
      <c r="AH4">
        <v>8</v>
      </c>
    </row>
    <row r="5" spans="1:34" x14ac:dyDescent="0.25">
      <c r="A5">
        <v>1402000</v>
      </c>
      <c r="B5" s="2" t="str">
        <f t="shared" si="1"/>
        <v>02</v>
      </c>
      <c r="C5" t="s">
        <v>32</v>
      </c>
      <c r="D5" s="1">
        <v>929.16</v>
      </c>
      <c r="E5" s="1">
        <v>937.63</v>
      </c>
      <c r="F5" s="1">
        <v>4047298.15</v>
      </c>
      <c r="G5" s="1">
        <v>4872</v>
      </c>
      <c r="H5" s="1">
        <v>3</v>
      </c>
      <c r="I5" s="1">
        <v>2921.8</v>
      </c>
      <c r="J5" s="1">
        <v>236</v>
      </c>
      <c r="K5" s="1">
        <v>4562</v>
      </c>
      <c r="L5" s="1">
        <v>23.4</v>
      </c>
      <c r="M5" s="1">
        <v>2531</v>
      </c>
      <c r="N5" s="1">
        <v>27.72</v>
      </c>
      <c r="O5" s="1">
        <v>122</v>
      </c>
      <c r="P5" s="1">
        <v>17.3</v>
      </c>
      <c r="Q5" s="1">
        <v>0.13</v>
      </c>
      <c r="R5" s="1">
        <v>5.15</v>
      </c>
      <c r="S5" s="1">
        <v>1955</v>
      </c>
      <c r="T5" s="1">
        <v>714</v>
      </c>
      <c r="U5" s="1">
        <v>3385.81</v>
      </c>
      <c r="V5" s="1">
        <v>90.4</v>
      </c>
      <c r="W5">
        <v>0</v>
      </c>
      <c r="X5">
        <v>10</v>
      </c>
      <c r="Y5">
        <v>1</v>
      </c>
      <c r="Z5">
        <v>1</v>
      </c>
      <c r="AA5">
        <f t="shared" si="2"/>
        <v>12</v>
      </c>
      <c r="AB5">
        <v>30163</v>
      </c>
      <c r="AC5">
        <v>299</v>
      </c>
      <c r="AD5">
        <f t="shared" si="3"/>
        <v>89</v>
      </c>
      <c r="AE5">
        <v>15</v>
      </c>
      <c r="AF5">
        <v>20</v>
      </c>
      <c r="AG5">
        <v>32</v>
      </c>
      <c r="AH5">
        <v>22</v>
      </c>
    </row>
    <row r="6" spans="1:34" x14ac:dyDescent="0.25">
      <c r="A6">
        <v>1403000</v>
      </c>
      <c r="B6" s="2" t="str">
        <f t="shared" si="1"/>
        <v>03</v>
      </c>
      <c r="C6" t="s">
        <v>33</v>
      </c>
      <c r="D6" s="1">
        <v>929.12</v>
      </c>
      <c r="E6" s="1">
        <v>889.09</v>
      </c>
      <c r="F6" s="1">
        <v>3796152.58</v>
      </c>
      <c r="G6" s="1">
        <v>1877</v>
      </c>
      <c r="H6" s="1">
        <v>1</v>
      </c>
      <c r="I6" s="1">
        <v>129</v>
      </c>
      <c r="J6" s="1">
        <v>431</v>
      </c>
      <c r="K6" s="1">
        <v>3745</v>
      </c>
      <c r="L6" s="1">
        <v>16.5</v>
      </c>
      <c r="M6" s="1">
        <v>2193</v>
      </c>
      <c r="N6" s="1">
        <v>20.21</v>
      </c>
      <c r="O6" s="1">
        <v>8</v>
      </c>
      <c r="P6" s="1">
        <v>14.5</v>
      </c>
      <c r="Q6" s="1">
        <v>0.09</v>
      </c>
      <c r="R6" s="1">
        <v>3.53</v>
      </c>
      <c r="S6" s="1">
        <v>191</v>
      </c>
      <c r="T6" s="1">
        <v>89</v>
      </c>
      <c r="U6" s="1">
        <v>3277.05</v>
      </c>
      <c r="V6" s="1">
        <v>87.5</v>
      </c>
      <c r="W6">
        <v>0</v>
      </c>
      <c r="X6">
        <v>14</v>
      </c>
      <c r="Y6">
        <v>0</v>
      </c>
      <c r="Z6">
        <v>0</v>
      </c>
      <c r="AA6">
        <f t="shared" si="2"/>
        <v>14</v>
      </c>
      <c r="AB6">
        <v>33511</v>
      </c>
      <c r="AC6">
        <v>351</v>
      </c>
      <c r="AD6">
        <f t="shared" si="3"/>
        <v>117</v>
      </c>
      <c r="AE6">
        <v>1</v>
      </c>
      <c r="AF6">
        <v>11</v>
      </c>
      <c r="AG6">
        <v>67</v>
      </c>
      <c r="AH6">
        <v>38</v>
      </c>
    </row>
    <row r="7" spans="1:34" x14ac:dyDescent="0.25">
      <c r="A7">
        <v>1404000</v>
      </c>
      <c r="B7" s="2" t="str">
        <f t="shared" si="1"/>
        <v>04</v>
      </c>
      <c r="C7" t="s">
        <v>34</v>
      </c>
      <c r="D7" s="1">
        <v>992.63</v>
      </c>
      <c r="E7" s="1">
        <v>1016.06</v>
      </c>
      <c r="F7" s="1">
        <v>1309764.5900000001</v>
      </c>
      <c r="G7" s="1">
        <v>1091</v>
      </c>
      <c r="H7" s="1">
        <v>0</v>
      </c>
      <c r="I7" s="1">
        <v>0</v>
      </c>
      <c r="J7" s="1">
        <v>120</v>
      </c>
      <c r="K7" s="1">
        <v>3108</v>
      </c>
      <c r="L7" s="1">
        <v>17.100000000000001</v>
      </c>
      <c r="M7" s="1">
        <v>695</v>
      </c>
      <c r="N7" s="1">
        <v>14.87</v>
      </c>
      <c r="O7" s="1">
        <v>35</v>
      </c>
      <c r="P7" s="1">
        <v>23.2</v>
      </c>
      <c r="Q7" s="1">
        <v>7.0000000000000007E-2</v>
      </c>
      <c r="R7" s="1">
        <v>6.66</v>
      </c>
      <c r="S7" s="1">
        <v>0</v>
      </c>
      <c r="T7" s="1">
        <v>0</v>
      </c>
      <c r="U7" s="1">
        <v>2925.45</v>
      </c>
      <c r="V7" s="1">
        <v>78.099999999999994</v>
      </c>
      <c r="W7">
        <v>0</v>
      </c>
      <c r="X7">
        <v>7</v>
      </c>
      <c r="Y7">
        <v>0</v>
      </c>
      <c r="Z7">
        <v>0</v>
      </c>
      <c r="AA7">
        <f t="shared" si="2"/>
        <v>7</v>
      </c>
      <c r="AB7">
        <v>15798</v>
      </c>
      <c r="AC7">
        <v>121</v>
      </c>
      <c r="AD7">
        <f t="shared" si="3"/>
        <v>37</v>
      </c>
      <c r="AE7">
        <v>0</v>
      </c>
      <c r="AF7">
        <v>8</v>
      </c>
      <c r="AG7">
        <v>17</v>
      </c>
      <c r="AH7">
        <v>12</v>
      </c>
    </row>
    <row r="8" spans="1:34" x14ac:dyDescent="0.25">
      <c r="A8">
        <v>1405000</v>
      </c>
      <c r="B8" s="2" t="str">
        <f t="shared" si="1"/>
        <v>05</v>
      </c>
      <c r="C8" t="s">
        <v>36</v>
      </c>
      <c r="D8" s="1">
        <v>814.44</v>
      </c>
      <c r="E8" s="1">
        <v>811.79</v>
      </c>
      <c r="F8" s="1">
        <v>650951.93999999994</v>
      </c>
      <c r="G8" s="1">
        <v>4385</v>
      </c>
      <c r="H8" s="1">
        <v>1</v>
      </c>
      <c r="I8" s="1">
        <v>422</v>
      </c>
      <c r="J8" s="1">
        <v>233</v>
      </c>
      <c r="K8" s="1">
        <v>5470</v>
      </c>
      <c r="L8" s="1">
        <v>14.6</v>
      </c>
      <c r="M8" s="1">
        <v>2055</v>
      </c>
      <c r="N8" s="1">
        <v>23.64</v>
      </c>
      <c r="O8" s="1">
        <v>0</v>
      </c>
      <c r="P8" s="1">
        <v>7.8</v>
      </c>
      <c r="Q8" s="1">
        <v>0.13</v>
      </c>
      <c r="R8" s="1">
        <v>4.3</v>
      </c>
      <c r="S8" s="1">
        <v>978</v>
      </c>
      <c r="T8" s="1">
        <v>427</v>
      </c>
      <c r="U8" s="1">
        <v>3854.84</v>
      </c>
      <c r="V8" s="1">
        <v>103</v>
      </c>
      <c r="W8">
        <v>0</v>
      </c>
      <c r="X8">
        <v>9</v>
      </c>
      <c r="Y8">
        <v>0</v>
      </c>
      <c r="Z8">
        <v>0</v>
      </c>
      <c r="AA8">
        <f t="shared" si="2"/>
        <v>9</v>
      </c>
      <c r="AB8">
        <v>32651</v>
      </c>
      <c r="AC8">
        <v>344</v>
      </c>
      <c r="AD8">
        <f t="shared" si="3"/>
        <v>56</v>
      </c>
      <c r="AE8">
        <v>4</v>
      </c>
      <c r="AF8">
        <v>11</v>
      </c>
      <c r="AG8">
        <v>26</v>
      </c>
      <c r="AH8">
        <v>15</v>
      </c>
    </row>
    <row r="9" spans="1:34" x14ac:dyDescent="0.25">
      <c r="A9">
        <v>1406000</v>
      </c>
      <c r="B9" s="2" t="str">
        <f t="shared" si="1"/>
        <v>06</v>
      </c>
      <c r="C9" t="s">
        <v>35</v>
      </c>
      <c r="D9" s="1">
        <v>896.62</v>
      </c>
      <c r="E9" s="1">
        <v>880.54</v>
      </c>
      <c r="F9" s="1">
        <v>4136572.87</v>
      </c>
      <c r="G9" s="1">
        <v>3006</v>
      </c>
      <c r="H9" s="1">
        <v>2</v>
      </c>
      <c r="I9" s="1">
        <v>153.19999999999999</v>
      </c>
      <c r="J9" s="1">
        <v>363</v>
      </c>
      <c r="K9" s="1">
        <v>4932</v>
      </c>
      <c r="L9" s="1">
        <v>15.9</v>
      </c>
      <c r="M9" s="1">
        <v>2800</v>
      </c>
      <c r="N9" s="1">
        <v>28.42</v>
      </c>
      <c r="O9" s="1">
        <v>0</v>
      </c>
      <c r="P9" s="1">
        <v>8.6</v>
      </c>
      <c r="Q9" s="1">
        <v>0.1</v>
      </c>
      <c r="R9" s="1">
        <v>4.29</v>
      </c>
      <c r="S9" s="1">
        <v>60</v>
      </c>
      <c r="T9" s="1">
        <v>20</v>
      </c>
      <c r="U9" s="1">
        <v>3589.76</v>
      </c>
      <c r="V9" s="1">
        <v>95.9</v>
      </c>
      <c r="W9">
        <v>1</v>
      </c>
      <c r="X9">
        <v>9</v>
      </c>
      <c r="Y9">
        <v>0</v>
      </c>
      <c r="Z9">
        <v>0</v>
      </c>
      <c r="AA9">
        <f t="shared" si="2"/>
        <v>10</v>
      </c>
      <c r="AB9">
        <v>35085</v>
      </c>
      <c r="AC9">
        <v>337</v>
      </c>
      <c r="AD9">
        <f t="shared" si="3"/>
        <v>89</v>
      </c>
      <c r="AE9">
        <v>7</v>
      </c>
      <c r="AF9">
        <v>16</v>
      </c>
      <c r="AG9">
        <v>49</v>
      </c>
      <c r="AH9">
        <v>17</v>
      </c>
    </row>
    <row r="10" spans="1:34" x14ac:dyDescent="0.25">
      <c r="A10">
        <v>1407000</v>
      </c>
      <c r="B10" s="2" t="str">
        <f t="shared" si="1"/>
        <v>07</v>
      </c>
      <c r="C10" t="s">
        <v>37</v>
      </c>
      <c r="D10" s="1">
        <v>1047.6099999999999</v>
      </c>
      <c r="E10" s="1">
        <v>930.29</v>
      </c>
      <c r="F10" s="1">
        <v>3461797.37</v>
      </c>
      <c r="G10" s="1">
        <v>3985</v>
      </c>
      <c r="H10" s="1">
        <v>2</v>
      </c>
      <c r="I10" s="1">
        <v>1486.5</v>
      </c>
      <c r="J10" s="1">
        <v>0</v>
      </c>
      <c r="K10" s="1">
        <v>3278</v>
      </c>
      <c r="L10" s="1">
        <v>14.8</v>
      </c>
      <c r="M10" s="1">
        <v>1707</v>
      </c>
      <c r="N10" s="1">
        <v>27.37</v>
      </c>
      <c r="O10" s="1">
        <v>127</v>
      </c>
      <c r="P10" s="1">
        <v>19.100000000000001</v>
      </c>
      <c r="Q10" s="1">
        <v>0.08</v>
      </c>
      <c r="R10" s="1">
        <v>5.25</v>
      </c>
      <c r="S10" s="1">
        <v>0</v>
      </c>
      <c r="T10" s="1">
        <v>0</v>
      </c>
      <c r="U10" s="1">
        <v>4239.66</v>
      </c>
      <c r="V10" s="1">
        <v>113.2</v>
      </c>
      <c r="W10">
        <v>0</v>
      </c>
      <c r="X10">
        <v>5</v>
      </c>
      <c r="Y10">
        <v>0</v>
      </c>
      <c r="Z10">
        <v>0</v>
      </c>
      <c r="AA10">
        <f t="shared" si="2"/>
        <v>5</v>
      </c>
      <c r="AB10">
        <v>21415</v>
      </c>
      <c r="AC10">
        <v>223</v>
      </c>
      <c r="AD10">
        <f t="shared" si="3"/>
        <v>55</v>
      </c>
      <c r="AE10">
        <v>4</v>
      </c>
      <c r="AF10">
        <v>8</v>
      </c>
      <c r="AG10">
        <v>29</v>
      </c>
      <c r="AH10">
        <v>14</v>
      </c>
    </row>
    <row r="11" spans="1:34" x14ac:dyDescent="0.25">
      <c r="A11">
        <v>1408000</v>
      </c>
      <c r="B11" s="2" t="str">
        <f t="shared" si="1"/>
        <v>08</v>
      </c>
      <c r="C11" t="s">
        <v>38</v>
      </c>
      <c r="D11" s="1">
        <v>734.25</v>
      </c>
      <c r="E11" s="1">
        <v>731.96</v>
      </c>
      <c r="F11" s="1">
        <v>2063938.5</v>
      </c>
      <c r="G11" s="1">
        <v>2995</v>
      </c>
      <c r="H11" s="1">
        <v>1</v>
      </c>
      <c r="I11" s="1">
        <v>655.7</v>
      </c>
      <c r="J11" s="1">
        <v>2198</v>
      </c>
      <c r="K11" s="1">
        <v>6464</v>
      </c>
      <c r="L11" s="1">
        <v>20.8</v>
      </c>
      <c r="M11" s="1">
        <v>2938</v>
      </c>
      <c r="N11" s="1">
        <v>26.87</v>
      </c>
      <c r="O11" s="1">
        <v>247</v>
      </c>
      <c r="P11" s="1">
        <v>14.7</v>
      </c>
      <c r="Q11" s="1">
        <v>0.09</v>
      </c>
      <c r="R11" s="1">
        <v>3.34</v>
      </c>
      <c r="S11" s="1">
        <v>0</v>
      </c>
      <c r="T11" s="1">
        <v>0</v>
      </c>
      <c r="U11" s="1">
        <v>3600.74</v>
      </c>
      <c r="V11" s="1">
        <v>96.2</v>
      </c>
      <c r="W11">
        <v>3</v>
      </c>
      <c r="X11">
        <v>11</v>
      </c>
      <c r="Y11">
        <v>0</v>
      </c>
      <c r="Z11">
        <v>2</v>
      </c>
      <c r="AA11">
        <f t="shared" si="2"/>
        <v>16</v>
      </c>
      <c r="AB11">
        <v>41107</v>
      </c>
      <c r="AC11">
        <v>349</v>
      </c>
      <c r="AD11">
        <f t="shared" si="3"/>
        <v>51</v>
      </c>
      <c r="AE11">
        <v>2</v>
      </c>
      <c r="AF11">
        <v>6</v>
      </c>
      <c r="AG11">
        <v>26</v>
      </c>
      <c r="AH11">
        <v>17</v>
      </c>
    </row>
    <row r="12" spans="1:34" x14ac:dyDescent="0.25">
      <c r="A12">
        <v>1409000</v>
      </c>
      <c r="B12" s="2" t="str">
        <f t="shared" si="1"/>
        <v>09</v>
      </c>
      <c r="C12" t="s">
        <v>39</v>
      </c>
      <c r="D12" s="1">
        <v>1289.51</v>
      </c>
      <c r="E12" s="1">
        <v>1215.9000000000001</v>
      </c>
      <c r="F12" s="1">
        <v>2599095.1800000002</v>
      </c>
      <c r="G12" s="1">
        <v>411</v>
      </c>
      <c r="H12" s="1">
        <v>0</v>
      </c>
      <c r="I12" s="1">
        <v>0</v>
      </c>
      <c r="J12" s="1">
        <v>0</v>
      </c>
      <c r="K12" s="1">
        <v>2991</v>
      </c>
      <c r="L12" s="1">
        <v>24.5</v>
      </c>
      <c r="M12" s="1">
        <v>734</v>
      </c>
      <c r="N12" s="1">
        <v>20.32</v>
      </c>
      <c r="O12" s="1">
        <v>0</v>
      </c>
      <c r="P12" s="1">
        <v>17</v>
      </c>
      <c r="Q12" s="1">
        <v>0.01</v>
      </c>
      <c r="R12" s="1">
        <v>2.27</v>
      </c>
      <c r="S12" s="1">
        <v>0</v>
      </c>
      <c r="T12" s="1">
        <v>0</v>
      </c>
      <c r="U12" s="1">
        <v>3098.37</v>
      </c>
      <c r="V12" s="1">
        <v>82.7</v>
      </c>
      <c r="W12">
        <v>0</v>
      </c>
      <c r="X12">
        <v>3</v>
      </c>
      <c r="Y12">
        <v>0</v>
      </c>
      <c r="Z12">
        <v>0</v>
      </c>
      <c r="AA12">
        <f t="shared" si="2"/>
        <v>3</v>
      </c>
      <c r="AB12">
        <v>13036</v>
      </c>
      <c r="AC12">
        <v>58</v>
      </c>
      <c r="AD12">
        <f t="shared" si="3"/>
        <v>40</v>
      </c>
      <c r="AE12">
        <v>3</v>
      </c>
      <c r="AF12">
        <v>6</v>
      </c>
      <c r="AG12">
        <v>20</v>
      </c>
      <c r="AH12">
        <v>11</v>
      </c>
    </row>
    <row r="13" spans="1:34" x14ac:dyDescent="0.25">
      <c r="A13">
        <v>1410000</v>
      </c>
      <c r="B13" s="2" t="str">
        <f t="shared" si="1"/>
        <v>10</v>
      </c>
      <c r="C13" t="s">
        <v>53</v>
      </c>
      <c r="D13" s="1">
        <v>1064.74</v>
      </c>
      <c r="E13" s="1">
        <v>1062.77</v>
      </c>
      <c r="F13" s="1">
        <v>924364.33</v>
      </c>
      <c r="G13" s="1">
        <v>1104</v>
      </c>
      <c r="H13" s="1">
        <v>0</v>
      </c>
      <c r="I13" s="1">
        <v>0</v>
      </c>
      <c r="J13" s="1">
        <v>126</v>
      </c>
      <c r="K13" s="1">
        <v>2485</v>
      </c>
      <c r="L13" s="1">
        <v>33.799999999999997</v>
      </c>
      <c r="M13" s="1">
        <v>603</v>
      </c>
      <c r="N13" s="1">
        <v>18.600000000000001</v>
      </c>
      <c r="O13" s="1">
        <v>4</v>
      </c>
      <c r="P13" s="1">
        <v>12.4</v>
      </c>
      <c r="Q13" s="1">
        <v>0.04</v>
      </c>
      <c r="R13" s="1">
        <v>5.94</v>
      </c>
      <c r="S13" s="1">
        <v>0</v>
      </c>
      <c r="T13" s="1">
        <v>0</v>
      </c>
      <c r="U13" s="1">
        <v>3025.24</v>
      </c>
      <c r="V13" s="1">
        <v>80.8</v>
      </c>
      <c r="W13">
        <v>0</v>
      </c>
      <c r="X13">
        <v>3</v>
      </c>
      <c r="Y13">
        <v>0</v>
      </c>
      <c r="Z13">
        <v>0</v>
      </c>
      <c r="AA13">
        <f t="shared" si="2"/>
        <v>3</v>
      </c>
      <c r="AB13">
        <v>11237</v>
      </c>
      <c r="AC13">
        <v>101</v>
      </c>
      <c r="AD13">
        <f t="shared" si="3"/>
        <v>37</v>
      </c>
      <c r="AE13">
        <v>0</v>
      </c>
      <c r="AF13">
        <v>3</v>
      </c>
      <c r="AG13">
        <v>23</v>
      </c>
      <c r="AH13">
        <v>11</v>
      </c>
    </row>
    <row r="14" spans="1:34" x14ac:dyDescent="0.25">
      <c r="A14">
        <v>1411000</v>
      </c>
      <c r="B14" s="2" t="str">
        <f t="shared" si="1"/>
        <v>11</v>
      </c>
      <c r="C14" t="s">
        <v>40</v>
      </c>
      <c r="D14" s="1">
        <v>983.58</v>
      </c>
      <c r="E14" s="1">
        <v>954.89</v>
      </c>
      <c r="F14" s="1">
        <v>401177.31</v>
      </c>
      <c r="G14" s="1">
        <v>1029</v>
      </c>
      <c r="H14" s="1">
        <v>1</v>
      </c>
      <c r="I14" s="1">
        <v>255.9</v>
      </c>
      <c r="J14" s="1">
        <v>187</v>
      </c>
      <c r="K14" s="1">
        <v>2129</v>
      </c>
      <c r="L14" s="1">
        <v>18.899999999999999</v>
      </c>
      <c r="M14" s="1">
        <v>1087</v>
      </c>
      <c r="N14" s="1">
        <v>23.18</v>
      </c>
      <c r="O14" s="1">
        <v>0</v>
      </c>
      <c r="P14" s="1">
        <v>25.6</v>
      </c>
      <c r="Q14" s="1">
        <v>0.06</v>
      </c>
      <c r="R14" s="1">
        <v>6.81</v>
      </c>
      <c r="S14" s="1">
        <v>0</v>
      </c>
      <c r="T14" s="1">
        <v>0</v>
      </c>
      <c r="U14" s="1">
        <v>3010.45</v>
      </c>
      <c r="V14" s="1">
        <v>80.400000000000006</v>
      </c>
      <c r="W14">
        <v>0</v>
      </c>
      <c r="X14">
        <v>9</v>
      </c>
      <c r="Y14">
        <v>0</v>
      </c>
      <c r="Z14">
        <v>0</v>
      </c>
      <c r="AA14">
        <f t="shared" si="2"/>
        <v>9</v>
      </c>
      <c r="AB14">
        <v>14844</v>
      </c>
      <c r="AC14">
        <v>24</v>
      </c>
      <c r="AD14">
        <f t="shared" si="3"/>
        <v>46</v>
      </c>
      <c r="AE14">
        <v>0</v>
      </c>
      <c r="AF14">
        <v>6</v>
      </c>
      <c r="AG14">
        <v>25</v>
      </c>
      <c r="AH14">
        <v>15</v>
      </c>
    </row>
    <row r="15" spans="1:34" x14ac:dyDescent="0.25">
      <c r="A15">
        <v>1412000</v>
      </c>
      <c r="B15" s="2" t="str">
        <f t="shared" si="1"/>
        <v>12</v>
      </c>
      <c r="C15" t="s">
        <v>54</v>
      </c>
      <c r="D15" s="1">
        <v>838.84</v>
      </c>
      <c r="E15" s="1">
        <v>791.67</v>
      </c>
      <c r="F15" s="1">
        <v>5247485.5199999996</v>
      </c>
      <c r="G15" s="1">
        <v>1411</v>
      </c>
      <c r="H15" s="1">
        <v>4</v>
      </c>
      <c r="I15" s="1">
        <v>854.8</v>
      </c>
      <c r="J15" s="1">
        <v>0</v>
      </c>
      <c r="K15" s="1">
        <v>5957</v>
      </c>
      <c r="L15" s="1">
        <v>14.8</v>
      </c>
      <c r="M15" s="1">
        <v>2945</v>
      </c>
      <c r="N15" s="1">
        <v>19.82</v>
      </c>
      <c r="O15" s="1">
        <v>367</v>
      </c>
      <c r="P15" s="1">
        <v>11.2</v>
      </c>
      <c r="Q15" s="1">
        <v>0.22</v>
      </c>
      <c r="R15" s="1">
        <v>5.86</v>
      </c>
      <c r="S15" s="1">
        <v>303</v>
      </c>
      <c r="T15" s="1">
        <v>99</v>
      </c>
      <c r="U15" s="1">
        <v>3136.52</v>
      </c>
      <c r="V15" s="1">
        <v>83.8</v>
      </c>
      <c r="W15">
        <v>3</v>
      </c>
      <c r="X15">
        <v>15</v>
      </c>
      <c r="Y15">
        <v>0</v>
      </c>
      <c r="Z15">
        <v>1</v>
      </c>
      <c r="AA15">
        <f t="shared" si="2"/>
        <v>19</v>
      </c>
      <c r="AB15">
        <v>52809</v>
      </c>
      <c r="AC15">
        <v>581</v>
      </c>
      <c r="AD15">
        <f t="shared" si="3"/>
        <v>111</v>
      </c>
      <c r="AE15">
        <v>4</v>
      </c>
      <c r="AF15">
        <v>14</v>
      </c>
      <c r="AG15">
        <v>60</v>
      </c>
      <c r="AH15">
        <v>33</v>
      </c>
    </row>
    <row r="16" spans="1:34" x14ac:dyDescent="0.25">
      <c r="A16">
        <v>1413000</v>
      </c>
      <c r="B16" s="2" t="str">
        <f t="shared" si="1"/>
        <v>13</v>
      </c>
      <c r="C16" t="s">
        <v>55</v>
      </c>
      <c r="D16" s="1">
        <v>803.16</v>
      </c>
      <c r="E16" s="1">
        <v>825.88</v>
      </c>
      <c r="F16" s="1">
        <v>1691102.01</v>
      </c>
      <c r="G16" s="1">
        <v>4749</v>
      </c>
      <c r="H16" s="1">
        <v>1</v>
      </c>
      <c r="I16" s="1">
        <v>1233.7</v>
      </c>
      <c r="J16" s="1">
        <v>278</v>
      </c>
      <c r="K16" s="1">
        <v>4378</v>
      </c>
      <c r="L16" s="1">
        <v>14.2</v>
      </c>
      <c r="M16" s="1">
        <v>1588</v>
      </c>
      <c r="N16" s="1">
        <v>21.3</v>
      </c>
      <c r="O16" s="1">
        <v>140</v>
      </c>
      <c r="P16" s="1">
        <v>15.1</v>
      </c>
      <c r="Q16" s="1">
        <v>0.13</v>
      </c>
      <c r="R16" s="1">
        <v>6.34</v>
      </c>
      <c r="S16" s="1">
        <v>213</v>
      </c>
      <c r="T16" s="1">
        <v>60</v>
      </c>
      <c r="U16" s="1">
        <v>2670.07</v>
      </c>
      <c r="V16" s="1">
        <v>71.3</v>
      </c>
      <c r="W16">
        <v>0</v>
      </c>
      <c r="X16">
        <v>10</v>
      </c>
      <c r="Y16">
        <v>1</v>
      </c>
      <c r="Z16">
        <v>1</v>
      </c>
      <c r="AA16">
        <f t="shared" si="2"/>
        <v>12</v>
      </c>
      <c r="AB16">
        <v>24040</v>
      </c>
      <c r="AC16">
        <v>191</v>
      </c>
      <c r="AD16">
        <f t="shared" si="3"/>
        <v>78</v>
      </c>
      <c r="AE16">
        <v>13</v>
      </c>
      <c r="AF16">
        <v>13</v>
      </c>
      <c r="AG16">
        <v>35</v>
      </c>
      <c r="AH16">
        <v>17</v>
      </c>
    </row>
    <row r="17" spans="1:34" x14ac:dyDescent="0.25">
      <c r="A17">
        <v>1414000</v>
      </c>
      <c r="B17" s="2" t="str">
        <f t="shared" si="1"/>
        <v>14</v>
      </c>
      <c r="C17" t="s">
        <v>41</v>
      </c>
      <c r="D17" s="1">
        <v>679.52</v>
      </c>
      <c r="E17" s="1">
        <v>682.59</v>
      </c>
      <c r="F17" s="1">
        <v>4907235.74</v>
      </c>
      <c r="G17" s="1">
        <v>5587</v>
      </c>
      <c r="H17" s="1">
        <v>1</v>
      </c>
      <c r="I17" s="1">
        <v>2612.3000000000002</v>
      </c>
      <c r="J17" s="1">
        <v>475</v>
      </c>
      <c r="K17" s="1">
        <v>5221</v>
      </c>
      <c r="L17" s="1">
        <v>15.8</v>
      </c>
      <c r="M17" s="1">
        <v>2468</v>
      </c>
      <c r="N17" s="1">
        <v>31.57</v>
      </c>
      <c r="O17" s="1">
        <v>243</v>
      </c>
      <c r="P17" s="1">
        <v>13</v>
      </c>
      <c r="Q17" s="1">
        <v>0.12</v>
      </c>
      <c r="R17" s="1">
        <v>5.14</v>
      </c>
      <c r="S17" s="1">
        <v>0</v>
      </c>
      <c r="T17" s="1">
        <v>0</v>
      </c>
      <c r="U17" s="1">
        <v>4145.3500000000004</v>
      </c>
      <c r="V17" s="1">
        <v>110.7</v>
      </c>
      <c r="W17">
        <v>1</v>
      </c>
      <c r="X17">
        <v>10</v>
      </c>
      <c r="Y17">
        <v>0</v>
      </c>
      <c r="Z17">
        <v>1</v>
      </c>
      <c r="AA17">
        <f t="shared" si="2"/>
        <v>12</v>
      </c>
      <c r="AB17">
        <v>27925</v>
      </c>
      <c r="AC17">
        <v>309</v>
      </c>
      <c r="AD17">
        <f t="shared" si="3"/>
        <v>59</v>
      </c>
      <c r="AE17">
        <v>1</v>
      </c>
      <c r="AF17">
        <v>12</v>
      </c>
      <c r="AG17">
        <v>27</v>
      </c>
      <c r="AH17">
        <v>19</v>
      </c>
    </row>
    <row r="18" spans="1:34" x14ac:dyDescent="0.25">
      <c r="A18">
        <v>1415000</v>
      </c>
      <c r="B18" s="2" t="str">
        <f t="shared" si="1"/>
        <v>15</v>
      </c>
      <c r="C18" t="s">
        <v>60</v>
      </c>
      <c r="D18" s="1">
        <v>779.76</v>
      </c>
      <c r="E18" s="1">
        <v>738.37</v>
      </c>
      <c r="F18" s="1">
        <v>1306421.82</v>
      </c>
      <c r="G18" s="1">
        <v>794</v>
      </c>
      <c r="H18" s="1">
        <v>1</v>
      </c>
      <c r="I18" s="1">
        <v>843.7</v>
      </c>
      <c r="J18" s="1">
        <v>0</v>
      </c>
      <c r="K18" s="1">
        <v>2928</v>
      </c>
      <c r="L18" s="1">
        <v>13.7</v>
      </c>
      <c r="M18" s="1">
        <v>3815</v>
      </c>
      <c r="N18" s="1">
        <v>43.5</v>
      </c>
      <c r="O18" s="1">
        <v>4</v>
      </c>
      <c r="P18" s="1">
        <v>18.7</v>
      </c>
      <c r="Q18" s="1">
        <v>7.0000000000000007E-2</v>
      </c>
      <c r="R18" s="1">
        <v>6.28</v>
      </c>
      <c r="S18" s="1">
        <v>0</v>
      </c>
      <c r="T18" s="1">
        <v>0</v>
      </c>
      <c r="U18" s="1">
        <v>3213.82</v>
      </c>
      <c r="V18" s="1">
        <v>85.8</v>
      </c>
      <c r="W18">
        <v>0</v>
      </c>
      <c r="X18">
        <v>2</v>
      </c>
      <c r="Y18">
        <v>0</v>
      </c>
      <c r="Z18">
        <v>1</v>
      </c>
      <c r="AA18">
        <f t="shared" si="2"/>
        <v>3</v>
      </c>
      <c r="AB18">
        <v>23404</v>
      </c>
      <c r="AC18">
        <v>158</v>
      </c>
      <c r="AD18">
        <f t="shared" si="3"/>
        <v>113</v>
      </c>
      <c r="AE18">
        <v>5</v>
      </c>
      <c r="AF18">
        <v>11</v>
      </c>
      <c r="AG18">
        <v>70</v>
      </c>
      <c r="AH18">
        <v>27</v>
      </c>
    </row>
    <row r="19" spans="1:34" x14ac:dyDescent="0.25">
      <c r="A19">
        <v>1416000</v>
      </c>
      <c r="B19" s="2" t="str">
        <f t="shared" si="1"/>
        <v>16</v>
      </c>
      <c r="C19" t="s">
        <v>42</v>
      </c>
      <c r="D19" s="1">
        <v>822.57</v>
      </c>
      <c r="E19" s="1">
        <v>823.06</v>
      </c>
      <c r="F19" s="1">
        <v>4053672.1</v>
      </c>
      <c r="G19" s="1">
        <v>1666</v>
      </c>
      <c r="H19" s="1">
        <v>0</v>
      </c>
      <c r="I19" s="1">
        <v>0</v>
      </c>
      <c r="J19" s="1">
        <v>375</v>
      </c>
      <c r="K19" s="1">
        <v>3261</v>
      </c>
      <c r="L19" s="1">
        <v>16.600000000000001</v>
      </c>
      <c r="M19" s="1">
        <v>2077</v>
      </c>
      <c r="N19" s="1">
        <v>27.6</v>
      </c>
      <c r="O19" s="1">
        <v>18</v>
      </c>
      <c r="P19" s="1">
        <v>18.2</v>
      </c>
      <c r="Q19" s="1">
        <v>7.0000000000000007E-2</v>
      </c>
      <c r="R19" s="1">
        <v>4.63</v>
      </c>
      <c r="S19" s="1">
        <v>103</v>
      </c>
      <c r="T19" s="1">
        <v>37</v>
      </c>
      <c r="U19" s="1">
        <v>3174.79</v>
      </c>
      <c r="V19" s="1">
        <v>84.8</v>
      </c>
      <c r="W19">
        <v>0</v>
      </c>
      <c r="X19">
        <v>11</v>
      </c>
      <c r="Y19">
        <v>0</v>
      </c>
      <c r="Z19">
        <v>0</v>
      </c>
      <c r="AA19">
        <f t="shared" si="2"/>
        <v>11</v>
      </c>
      <c r="AB19">
        <v>24226</v>
      </c>
      <c r="AC19">
        <v>80</v>
      </c>
      <c r="AD19">
        <f t="shared" si="3"/>
        <v>77</v>
      </c>
      <c r="AE19">
        <v>0</v>
      </c>
      <c r="AF19">
        <v>8</v>
      </c>
      <c r="AG19">
        <v>48</v>
      </c>
      <c r="AH19">
        <v>21</v>
      </c>
    </row>
    <row r="20" spans="1:34" x14ac:dyDescent="0.25">
      <c r="A20">
        <v>1417000</v>
      </c>
      <c r="B20" s="2" t="str">
        <f t="shared" si="1"/>
        <v>17</v>
      </c>
      <c r="C20" t="s">
        <v>43</v>
      </c>
      <c r="D20" s="1">
        <v>848.16</v>
      </c>
      <c r="E20" s="1">
        <v>867.83</v>
      </c>
      <c r="F20" s="1">
        <v>3028805.31</v>
      </c>
      <c r="G20" s="1">
        <v>3246</v>
      </c>
      <c r="H20" s="1">
        <v>1</v>
      </c>
      <c r="I20" s="1">
        <v>409.2</v>
      </c>
      <c r="J20" s="1">
        <v>674</v>
      </c>
      <c r="K20" s="1">
        <v>4356</v>
      </c>
      <c r="L20" s="1">
        <v>18.2</v>
      </c>
      <c r="M20" s="1">
        <v>2814</v>
      </c>
      <c r="N20" s="1">
        <v>23.14</v>
      </c>
      <c r="O20" s="1">
        <v>168</v>
      </c>
      <c r="P20" s="1">
        <v>9.9</v>
      </c>
      <c r="Q20" s="1">
        <v>0.18</v>
      </c>
      <c r="R20" s="1">
        <v>4.59</v>
      </c>
      <c r="S20" s="1">
        <v>2053</v>
      </c>
      <c r="T20" s="1">
        <v>403</v>
      </c>
      <c r="U20" s="1">
        <v>3490.03</v>
      </c>
      <c r="V20" s="1">
        <v>93.2</v>
      </c>
      <c r="W20">
        <v>0</v>
      </c>
      <c r="X20">
        <v>8</v>
      </c>
      <c r="Y20">
        <v>1</v>
      </c>
      <c r="Z20">
        <v>0</v>
      </c>
      <c r="AA20">
        <f t="shared" si="2"/>
        <v>9</v>
      </c>
      <c r="AB20">
        <v>44911</v>
      </c>
      <c r="AC20">
        <v>493</v>
      </c>
      <c r="AD20">
        <f t="shared" si="3"/>
        <v>86</v>
      </c>
      <c r="AE20">
        <v>4</v>
      </c>
      <c r="AF20">
        <v>20</v>
      </c>
      <c r="AG20">
        <v>38</v>
      </c>
      <c r="AH20">
        <v>24</v>
      </c>
    </row>
    <row r="21" spans="1:34" x14ac:dyDescent="0.25">
      <c r="A21">
        <v>1418000</v>
      </c>
      <c r="B21" s="2" t="str">
        <f t="shared" si="1"/>
        <v>18</v>
      </c>
      <c r="C21" t="s">
        <v>62</v>
      </c>
      <c r="D21" s="1">
        <v>990.4</v>
      </c>
      <c r="E21" s="1">
        <v>1001.23</v>
      </c>
      <c r="F21" s="1">
        <v>4572822.07</v>
      </c>
      <c r="G21" s="1">
        <v>2159</v>
      </c>
      <c r="H21" s="1">
        <v>1</v>
      </c>
      <c r="I21" s="1">
        <v>452.9</v>
      </c>
      <c r="J21" s="1">
        <v>1609</v>
      </c>
      <c r="K21" s="1">
        <v>6498</v>
      </c>
      <c r="L21" s="1">
        <v>19.3</v>
      </c>
      <c r="M21" s="1">
        <v>3840</v>
      </c>
      <c r="N21" s="1">
        <v>22.92</v>
      </c>
      <c r="O21" s="1">
        <v>1316</v>
      </c>
      <c r="P21" s="1">
        <v>8.1999999999999993</v>
      </c>
      <c r="Q21" s="1">
        <v>0.34</v>
      </c>
      <c r="R21" s="1">
        <v>5.13</v>
      </c>
      <c r="S21" s="1">
        <v>0</v>
      </c>
      <c r="T21" s="1">
        <v>0</v>
      </c>
      <c r="U21" s="1">
        <v>3810.36</v>
      </c>
      <c r="V21" s="1">
        <v>101.8</v>
      </c>
      <c r="W21">
        <v>2</v>
      </c>
      <c r="X21">
        <v>23</v>
      </c>
      <c r="Y21">
        <v>0</v>
      </c>
      <c r="Z21">
        <v>0</v>
      </c>
      <c r="AA21">
        <f t="shared" si="2"/>
        <v>25</v>
      </c>
      <c r="AB21">
        <v>69089</v>
      </c>
      <c r="AC21">
        <v>311</v>
      </c>
      <c r="AD21">
        <f t="shared" si="3"/>
        <v>106</v>
      </c>
      <c r="AE21">
        <v>6</v>
      </c>
      <c r="AF21">
        <v>19</v>
      </c>
      <c r="AG21">
        <v>47</v>
      </c>
      <c r="AH21">
        <v>34</v>
      </c>
    </row>
    <row r="22" spans="1:34" x14ac:dyDescent="0.25">
      <c r="A22">
        <v>1419000</v>
      </c>
      <c r="B22" s="2" t="str">
        <f t="shared" si="1"/>
        <v>19</v>
      </c>
      <c r="C22" t="s">
        <v>56</v>
      </c>
      <c r="D22" s="1">
        <v>766.71</v>
      </c>
      <c r="E22" s="1">
        <v>802.25</v>
      </c>
      <c r="F22" s="1">
        <v>4666394.7300000004</v>
      </c>
      <c r="G22" s="1">
        <v>1589</v>
      </c>
      <c r="H22" s="1">
        <v>0</v>
      </c>
      <c r="I22" s="1">
        <v>0</v>
      </c>
      <c r="J22" s="1">
        <v>0</v>
      </c>
      <c r="K22" s="1">
        <v>3360</v>
      </c>
      <c r="L22" s="1">
        <v>19.399999999999999</v>
      </c>
      <c r="M22" s="1">
        <v>4826</v>
      </c>
      <c r="N22" s="1">
        <v>43.64</v>
      </c>
      <c r="O22" s="1">
        <v>0</v>
      </c>
      <c r="P22" s="1">
        <v>21.1</v>
      </c>
      <c r="Q22" s="1">
        <v>0.14000000000000001</v>
      </c>
      <c r="R22" s="1">
        <v>8.27</v>
      </c>
      <c r="S22" s="1">
        <v>0</v>
      </c>
      <c r="T22" s="1">
        <v>0</v>
      </c>
      <c r="U22" s="1">
        <v>3223.08</v>
      </c>
      <c r="V22" s="1">
        <v>86.1</v>
      </c>
      <c r="W22">
        <v>0</v>
      </c>
      <c r="X22">
        <v>5</v>
      </c>
      <c r="Y22">
        <v>0</v>
      </c>
      <c r="Z22">
        <v>0</v>
      </c>
      <c r="AA22">
        <f t="shared" si="2"/>
        <v>5</v>
      </c>
      <c r="AB22">
        <v>33204</v>
      </c>
      <c r="AC22">
        <v>219</v>
      </c>
      <c r="AD22">
        <f t="shared" si="3"/>
        <v>95</v>
      </c>
      <c r="AE22">
        <v>1</v>
      </c>
      <c r="AF22">
        <v>10</v>
      </c>
      <c r="AG22">
        <v>59</v>
      </c>
      <c r="AH22">
        <v>25</v>
      </c>
    </row>
    <row r="23" spans="1:34" x14ac:dyDescent="0.25">
      <c r="A23">
        <v>1420000</v>
      </c>
      <c r="B23" s="2" t="str">
        <f t="shared" si="1"/>
        <v>20</v>
      </c>
      <c r="C23" t="s">
        <v>63</v>
      </c>
      <c r="D23" s="1">
        <v>876.78</v>
      </c>
      <c r="E23" s="1">
        <v>913.78</v>
      </c>
      <c r="F23" s="1">
        <v>8852966.2599999998</v>
      </c>
      <c r="G23" s="1">
        <v>1567</v>
      </c>
      <c r="H23" s="1">
        <v>0</v>
      </c>
      <c r="I23" s="1">
        <v>0</v>
      </c>
      <c r="J23" s="1">
        <v>230</v>
      </c>
      <c r="K23" s="1">
        <v>4239</v>
      </c>
      <c r="L23" s="1">
        <v>16</v>
      </c>
      <c r="M23" s="1">
        <v>1725</v>
      </c>
      <c r="N23" s="1">
        <v>19.37</v>
      </c>
      <c r="O23" s="1">
        <v>131</v>
      </c>
      <c r="P23" s="1">
        <v>18.100000000000001</v>
      </c>
      <c r="Q23" s="1">
        <v>0.09</v>
      </c>
      <c r="R23" s="1">
        <v>5.0599999999999996</v>
      </c>
      <c r="S23" s="1">
        <v>338</v>
      </c>
      <c r="T23" s="1">
        <v>129</v>
      </c>
      <c r="U23" s="1">
        <v>3261.65</v>
      </c>
      <c r="V23" s="1">
        <v>87.1</v>
      </c>
      <c r="W23">
        <v>0</v>
      </c>
      <c r="X23">
        <v>8</v>
      </c>
      <c r="Y23">
        <v>0</v>
      </c>
      <c r="Z23">
        <v>0</v>
      </c>
      <c r="AA23">
        <f t="shared" si="2"/>
        <v>8</v>
      </c>
      <c r="AB23">
        <v>29166</v>
      </c>
      <c r="AC23">
        <v>218</v>
      </c>
      <c r="AD23">
        <f t="shared" si="3"/>
        <v>88</v>
      </c>
      <c r="AE23">
        <v>4</v>
      </c>
      <c r="AF23">
        <v>18</v>
      </c>
      <c r="AG23">
        <v>43</v>
      </c>
      <c r="AH23">
        <v>23</v>
      </c>
    </row>
    <row r="24" spans="1:34" x14ac:dyDescent="0.25">
      <c r="A24">
        <v>1421000</v>
      </c>
      <c r="B24" s="2" t="str">
        <f t="shared" si="1"/>
        <v>21</v>
      </c>
      <c r="C24" t="s">
        <v>44</v>
      </c>
      <c r="D24" s="1">
        <v>777.1</v>
      </c>
      <c r="E24" s="1">
        <v>736.8</v>
      </c>
      <c r="F24" s="1">
        <v>1097659.76</v>
      </c>
      <c r="G24" s="1">
        <v>4572</v>
      </c>
      <c r="H24" s="1">
        <v>2</v>
      </c>
      <c r="I24" s="1">
        <v>244.5</v>
      </c>
      <c r="J24" s="1">
        <v>69</v>
      </c>
      <c r="K24" s="1">
        <v>7128</v>
      </c>
      <c r="L24" s="1">
        <v>16.2</v>
      </c>
      <c r="M24" s="1">
        <v>3632</v>
      </c>
      <c r="N24" s="1">
        <v>23.24</v>
      </c>
      <c r="O24" s="1">
        <v>600</v>
      </c>
      <c r="P24" s="1">
        <v>8</v>
      </c>
      <c r="Q24" s="1">
        <v>0.37</v>
      </c>
      <c r="R24" s="1">
        <v>6.04</v>
      </c>
      <c r="S24" s="1">
        <v>580</v>
      </c>
      <c r="T24" s="1">
        <v>164</v>
      </c>
      <c r="U24" s="1">
        <v>4402.16</v>
      </c>
      <c r="V24" s="1">
        <v>117.6</v>
      </c>
      <c r="W24">
        <v>2</v>
      </c>
      <c r="X24">
        <v>17</v>
      </c>
      <c r="Y24">
        <v>1</v>
      </c>
      <c r="Z24">
        <v>4</v>
      </c>
      <c r="AA24">
        <f t="shared" si="2"/>
        <v>24</v>
      </c>
      <c r="AB24">
        <v>60093</v>
      </c>
      <c r="AC24">
        <v>296</v>
      </c>
      <c r="AD24">
        <f t="shared" si="3"/>
        <v>73</v>
      </c>
      <c r="AE24">
        <v>4</v>
      </c>
      <c r="AF24">
        <v>16</v>
      </c>
      <c r="AG24">
        <v>32</v>
      </c>
      <c r="AH24">
        <v>21</v>
      </c>
    </row>
    <row r="25" spans="1:34" x14ac:dyDescent="0.25">
      <c r="A25">
        <v>1422000</v>
      </c>
      <c r="B25" s="2" t="str">
        <f t="shared" si="1"/>
        <v>22</v>
      </c>
      <c r="C25" t="s">
        <v>45</v>
      </c>
      <c r="D25" s="1">
        <v>1225.06</v>
      </c>
      <c r="E25" s="1">
        <v>1153.6099999999999</v>
      </c>
      <c r="F25" s="1">
        <v>8249693.1900000004</v>
      </c>
      <c r="G25" s="1">
        <v>733</v>
      </c>
      <c r="H25" s="1">
        <v>1</v>
      </c>
      <c r="I25" s="1">
        <v>513.4</v>
      </c>
      <c r="J25" s="1">
        <v>210</v>
      </c>
      <c r="K25" s="1">
        <v>2561</v>
      </c>
      <c r="L25" s="1">
        <v>16.2</v>
      </c>
      <c r="M25" s="1">
        <v>1377</v>
      </c>
      <c r="N25" s="1">
        <v>25.55</v>
      </c>
      <c r="O25" s="1">
        <v>59</v>
      </c>
      <c r="P25" s="1">
        <v>16.8</v>
      </c>
      <c r="Q25" s="1">
        <v>0.04</v>
      </c>
      <c r="R25" s="1">
        <v>3.82</v>
      </c>
      <c r="S25" s="1">
        <v>72</v>
      </c>
      <c r="T25" s="1">
        <v>25</v>
      </c>
      <c r="U25" s="1">
        <v>3203.61</v>
      </c>
      <c r="V25" s="1">
        <v>85.6</v>
      </c>
      <c r="W25">
        <v>0</v>
      </c>
      <c r="X25">
        <v>7</v>
      </c>
      <c r="Y25">
        <v>0</v>
      </c>
      <c r="Z25">
        <v>0</v>
      </c>
      <c r="AA25">
        <f t="shared" si="2"/>
        <v>7</v>
      </c>
      <c r="AB25">
        <v>15704</v>
      </c>
      <c r="AC25">
        <v>173</v>
      </c>
      <c r="AD25">
        <f t="shared" si="3"/>
        <v>60</v>
      </c>
      <c r="AE25">
        <v>3</v>
      </c>
      <c r="AF25">
        <v>10</v>
      </c>
      <c r="AG25">
        <v>32</v>
      </c>
      <c r="AH25">
        <v>15</v>
      </c>
    </row>
    <row r="26" spans="1:34" x14ac:dyDescent="0.25">
      <c r="A26">
        <v>1423000</v>
      </c>
      <c r="B26" s="2" t="str">
        <f t="shared" si="1"/>
        <v>23</v>
      </c>
      <c r="C26" t="s">
        <v>46</v>
      </c>
      <c r="D26" s="1">
        <v>1394.79</v>
      </c>
      <c r="E26" s="1">
        <v>1386.58</v>
      </c>
      <c r="F26" s="1">
        <v>2299691.88</v>
      </c>
      <c r="G26" s="1">
        <v>1188</v>
      </c>
      <c r="H26" s="1">
        <v>1</v>
      </c>
      <c r="I26" s="1">
        <v>862.4</v>
      </c>
      <c r="J26" s="1">
        <v>361</v>
      </c>
      <c r="K26" s="1">
        <v>2277</v>
      </c>
      <c r="L26" s="1">
        <v>16.5</v>
      </c>
      <c r="M26" s="1">
        <v>741</v>
      </c>
      <c r="N26" s="1">
        <v>17.09</v>
      </c>
      <c r="O26" s="1">
        <v>8</v>
      </c>
      <c r="P26" s="1">
        <v>27.8</v>
      </c>
      <c r="Q26" s="1">
        <v>0.01</v>
      </c>
      <c r="R26" s="1">
        <v>1.92</v>
      </c>
      <c r="S26" s="1">
        <v>0</v>
      </c>
      <c r="T26" s="1">
        <v>0</v>
      </c>
      <c r="U26" s="1">
        <v>3062.87</v>
      </c>
      <c r="V26" s="1">
        <v>81.8</v>
      </c>
      <c r="W26">
        <v>0</v>
      </c>
      <c r="X26">
        <v>3</v>
      </c>
      <c r="Y26">
        <v>0</v>
      </c>
      <c r="Z26">
        <v>0</v>
      </c>
      <c r="AA26">
        <f t="shared" si="2"/>
        <v>3</v>
      </c>
      <c r="AB26">
        <v>14478</v>
      </c>
      <c r="AC26">
        <v>105</v>
      </c>
      <c r="AD26">
        <f t="shared" si="3"/>
        <v>52</v>
      </c>
      <c r="AE26">
        <v>3</v>
      </c>
      <c r="AF26">
        <v>8</v>
      </c>
      <c r="AG26">
        <v>23</v>
      </c>
      <c r="AH26">
        <v>18</v>
      </c>
    </row>
    <row r="27" spans="1:34" x14ac:dyDescent="0.25">
      <c r="A27">
        <v>1424000</v>
      </c>
      <c r="B27" s="2" t="str">
        <f t="shared" si="1"/>
        <v>24</v>
      </c>
      <c r="C27" t="s">
        <v>57</v>
      </c>
      <c r="D27" s="1">
        <v>1076.68</v>
      </c>
      <c r="E27" s="1">
        <v>1118.43</v>
      </c>
      <c r="F27" s="1">
        <v>3605344.47</v>
      </c>
      <c r="G27" s="1">
        <v>935</v>
      </c>
      <c r="H27" s="1">
        <v>1</v>
      </c>
      <c r="I27" s="1">
        <v>1395.3</v>
      </c>
      <c r="J27" s="1">
        <v>228</v>
      </c>
      <c r="K27" s="1">
        <v>3671</v>
      </c>
      <c r="L27" s="1">
        <v>17.3</v>
      </c>
      <c r="M27" s="1">
        <v>1418</v>
      </c>
      <c r="N27" s="1">
        <v>27.61</v>
      </c>
      <c r="O27" s="1">
        <v>101</v>
      </c>
      <c r="P27" s="1">
        <v>23.3</v>
      </c>
      <c r="Q27" s="1">
        <v>0.05</v>
      </c>
      <c r="R27" s="1">
        <v>5.08</v>
      </c>
      <c r="S27" s="1">
        <v>2205</v>
      </c>
      <c r="T27" s="1">
        <v>1227</v>
      </c>
      <c r="U27" s="1">
        <v>3094.05</v>
      </c>
      <c r="V27" s="1">
        <v>82.6</v>
      </c>
      <c r="W27">
        <v>0</v>
      </c>
      <c r="X27">
        <v>8</v>
      </c>
      <c r="Y27">
        <v>0</v>
      </c>
      <c r="Z27">
        <v>0</v>
      </c>
      <c r="AA27">
        <f t="shared" si="2"/>
        <v>8</v>
      </c>
      <c r="AB27">
        <v>17686</v>
      </c>
      <c r="AC27">
        <v>207</v>
      </c>
      <c r="AD27">
        <f t="shared" si="3"/>
        <v>47</v>
      </c>
      <c r="AE27">
        <v>2</v>
      </c>
      <c r="AF27">
        <v>6</v>
      </c>
      <c r="AG27">
        <v>27</v>
      </c>
      <c r="AH27">
        <v>12</v>
      </c>
    </row>
    <row r="28" spans="1:34" x14ac:dyDescent="0.25">
      <c r="A28">
        <v>1425000</v>
      </c>
      <c r="B28" s="2" t="str">
        <f t="shared" si="1"/>
        <v>25</v>
      </c>
      <c r="C28" t="s">
        <v>47</v>
      </c>
      <c r="D28" s="1">
        <v>743.63</v>
      </c>
      <c r="E28" s="1">
        <v>752.28</v>
      </c>
      <c r="F28" s="1">
        <v>1298823.97</v>
      </c>
      <c r="G28" s="1">
        <v>477</v>
      </c>
      <c r="H28" s="1">
        <v>2</v>
      </c>
      <c r="I28" s="1">
        <v>795</v>
      </c>
      <c r="J28" s="1">
        <v>0</v>
      </c>
      <c r="K28" s="1">
        <v>3587</v>
      </c>
      <c r="L28" s="1">
        <v>17.3</v>
      </c>
      <c r="M28" s="1">
        <v>8798</v>
      </c>
      <c r="N28" s="1">
        <v>58.53</v>
      </c>
      <c r="O28" s="1">
        <v>29</v>
      </c>
      <c r="P28" s="1">
        <v>30.3</v>
      </c>
      <c r="Q28" s="1">
        <v>0.1</v>
      </c>
      <c r="R28" s="1">
        <v>4.0599999999999996</v>
      </c>
      <c r="S28" s="1">
        <v>0</v>
      </c>
      <c r="T28" s="1">
        <v>0</v>
      </c>
      <c r="U28" s="1">
        <v>2857.68</v>
      </c>
      <c r="V28" s="1">
        <v>76.3</v>
      </c>
      <c r="W28">
        <v>0</v>
      </c>
      <c r="X28">
        <v>3</v>
      </c>
      <c r="Y28">
        <v>0</v>
      </c>
      <c r="Z28">
        <v>0</v>
      </c>
      <c r="AA28">
        <f t="shared" si="2"/>
        <v>3</v>
      </c>
      <c r="AB28">
        <v>43588</v>
      </c>
      <c r="AC28">
        <v>338</v>
      </c>
      <c r="AD28">
        <f t="shared" si="3"/>
        <v>112</v>
      </c>
      <c r="AE28">
        <v>2</v>
      </c>
      <c r="AF28">
        <v>9</v>
      </c>
      <c r="AG28">
        <v>78</v>
      </c>
      <c r="AH28">
        <v>23</v>
      </c>
    </row>
    <row r="29" spans="1:34" x14ac:dyDescent="0.25">
      <c r="A29">
        <v>1426000</v>
      </c>
      <c r="B29" s="2" t="str">
        <f t="shared" si="1"/>
        <v>26</v>
      </c>
      <c r="C29" t="s">
        <v>48</v>
      </c>
      <c r="D29" s="1">
        <v>486.79</v>
      </c>
      <c r="E29" s="1">
        <v>490.94</v>
      </c>
      <c r="F29" s="1">
        <v>416272.49</v>
      </c>
      <c r="G29" s="1">
        <v>1757</v>
      </c>
      <c r="H29" s="1">
        <v>1</v>
      </c>
      <c r="I29" s="1">
        <v>78.3</v>
      </c>
      <c r="J29" s="1">
        <v>0</v>
      </c>
      <c r="K29" s="1">
        <v>2156</v>
      </c>
      <c r="L29" s="1">
        <v>20.5</v>
      </c>
      <c r="M29" s="1">
        <v>3313</v>
      </c>
      <c r="N29" s="1">
        <v>40.450000000000003</v>
      </c>
      <c r="O29" s="1">
        <v>8</v>
      </c>
      <c r="P29" s="1">
        <v>11.9</v>
      </c>
      <c r="Q29" s="1">
        <v>7.0000000000000007E-2</v>
      </c>
      <c r="R29" s="1">
        <v>5.05</v>
      </c>
      <c r="S29" s="1">
        <v>53</v>
      </c>
      <c r="T29" s="1">
        <v>10</v>
      </c>
      <c r="U29" s="1">
        <v>3014.41</v>
      </c>
      <c r="V29" s="1">
        <v>80.5</v>
      </c>
      <c r="W29">
        <v>0</v>
      </c>
      <c r="X29">
        <v>2</v>
      </c>
      <c r="Y29">
        <v>0</v>
      </c>
      <c r="Z29">
        <v>0</v>
      </c>
      <c r="AA29">
        <f t="shared" si="2"/>
        <v>2</v>
      </c>
      <c r="AB29">
        <v>25539</v>
      </c>
      <c r="AC29">
        <v>70</v>
      </c>
      <c r="AD29">
        <f t="shared" si="3"/>
        <v>83</v>
      </c>
      <c r="AE29">
        <v>1</v>
      </c>
      <c r="AF29">
        <v>0</v>
      </c>
      <c r="AG29">
        <v>49</v>
      </c>
      <c r="AH29">
        <v>33</v>
      </c>
    </row>
    <row r="30" spans="1:34" x14ac:dyDescent="0.25">
      <c r="A30">
        <v>1427000</v>
      </c>
      <c r="B30" s="2" t="str">
        <f t="shared" si="1"/>
        <v>27</v>
      </c>
      <c r="C30" t="s">
        <v>49</v>
      </c>
      <c r="D30" s="1">
        <v>1019.62</v>
      </c>
      <c r="E30" s="1">
        <v>954.17</v>
      </c>
      <c r="F30" s="1">
        <v>771908.09</v>
      </c>
      <c r="G30" s="1">
        <v>1262</v>
      </c>
      <c r="H30" s="1">
        <v>1</v>
      </c>
      <c r="I30" s="1">
        <v>9699.9</v>
      </c>
      <c r="J30" s="1">
        <v>180</v>
      </c>
      <c r="K30" s="1">
        <v>2818</v>
      </c>
      <c r="L30" s="1">
        <v>18.5</v>
      </c>
      <c r="M30" s="1">
        <v>1665</v>
      </c>
      <c r="N30" s="1">
        <v>31.04</v>
      </c>
      <c r="O30" s="1">
        <v>27</v>
      </c>
      <c r="P30" s="1">
        <v>25</v>
      </c>
      <c r="Q30" s="1">
        <v>7.0000000000000007E-2</v>
      </c>
      <c r="R30" s="1">
        <v>7.04</v>
      </c>
      <c r="S30" s="1">
        <v>0</v>
      </c>
      <c r="T30" s="1">
        <v>0</v>
      </c>
      <c r="U30" s="1">
        <v>3043.46</v>
      </c>
      <c r="V30" s="1">
        <v>81.3</v>
      </c>
      <c r="W30">
        <v>0</v>
      </c>
      <c r="X30">
        <v>5</v>
      </c>
      <c r="Y30">
        <v>0</v>
      </c>
      <c r="Z30">
        <v>0</v>
      </c>
      <c r="AA30">
        <f t="shared" si="2"/>
        <v>5</v>
      </c>
      <c r="AB30">
        <v>16364</v>
      </c>
      <c r="AC30">
        <v>220</v>
      </c>
      <c r="AD30">
        <f t="shared" si="3"/>
        <v>47</v>
      </c>
      <c r="AE30">
        <v>3</v>
      </c>
      <c r="AF30">
        <v>9</v>
      </c>
      <c r="AG30">
        <v>23</v>
      </c>
      <c r="AH30">
        <v>12</v>
      </c>
    </row>
    <row r="31" spans="1:34" x14ac:dyDescent="0.25">
      <c r="A31">
        <v>1428000</v>
      </c>
      <c r="B31" s="2" t="str">
        <f t="shared" si="1"/>
        <v>28</v>
      </c>
      <c r="C31" t="s">
        <v>50</v>
      </c>
      <c r="D31" s="1">
        <v>889.64</v>
      </c>
      <c r="E31" s="1">
        <v>901.49</v>
      </c>
      <c r="F31" s="1">
        <v>4100856.33</v>
      </c>
      <c r="G31" s="1">
        <v>2754</v>
      </c>
      <c r="H31" s="1">
        <v>4</v>
      </c>
      <c r="I31" s="1">
        <v>24482.6</v>
      </c>
      <c r="J31" s="1">
        <v>312</v>
      </c>
      <c r="K31" s="1">
        <v>4055</v>
      </c>
      <c r="L31" s="1">
        <v>19.3</v>
      </c>
      <c r="M31" s="1">
        <v>2478</v>
      </c>
      <c r="N31" s="1">
        <v>29.11</v>
      </c>
      <c r="O31" s="1">
        <v>58</v>
      </c>
      <c r="P31" s="1">
        <v>11.5</v>
      </c>
      <c r="Q31" s="1">
        <v>0.2</v>
      </c>
      <c r="R31" s="1">
        <v>7.76</v>
      </c>
      <c r="S31" s="1">
        <v>382</v>
      </c>
      <c r="T31" s="1">
        <v>99</v>
      </c>
      <c r="U31" s="1">
        <v>3740.62</v>
      </c>
      <c r="V31" s="1">
        <v>99.9</v>
      </c>
      <c r="W31">
        <v>2</v>
      </c>
      <c r="X31">
        <v>4</v>
      </c>
      <c r="Y31">
        <v>0</v>
      </c>
      <c r="Z31">
        <v>2</v>
      </c>
      <c r="AA31">
        <f t="shared" si="2"/>
        <v>8</v>
      </c>
      <c r="AB31">
        <v>28578</v>
      </c>
      <c r="AC31">
        <v>161</v>
      </c>
      <c r="AD31">
        <f t="shared" si="3"/>
        <v>69</v>
      </c>
      <c r="AE31">
        <v>3</v>
      </c>
      <c r="AF31">
        <v>14</v>
      </c>
      <c r="AG31">
        <v>32</v>
      </c>
      <c r="AH31">
        <v>20</v>
      </c>
    </row>
    <row r="32" spans="1:34" x14ac:dyDescent="0.25">
      <c r="A32">
        <v>1429000</v>
      </c>
      <c r="B32" s="2" t="str">
        <f t="shared" si="1"/>
        <v>29</v>
      </c>
      <c r="C32" t="s">
        <v>58</v>
      </c>
      <c r="D32" s="1">
        <v>1073.1199999999999</v>
      </c>
      <c r="E32" s="1">
        <v>1036.8499999999999</v>
      </c>
      <c r="F32" s="1">
        <v>9117542.8200000003</v>
      </c>
      <c r="G32" s="1">
        <v>2905</v>
      </c>
      <c r="H32" s="1">
        <v>1</v>
      </c>
      <c r="I32" s="1">
        <v>9155.4</v>
      </c>
      <c r="J32" s="1">
        <v>155</v>
      </c>
      <c r="K32" s="1">
        <v>2961</v>
      </c>
      <c r="L32" s="1">
        <v>14.8</v>
      </c>
      <c r="M32" s="1">
        <v>1333</v>
      </c>
      <c r="N32" s="1">
        <v>23.61</v>
      </c>
      <c r="O32" s="1">
        <v>32</v>
      </c>
      <c r="P32" s="1">
        <v>11.6</v>
      </c>
      <c r="Q32" s="1">
        <v>0.24</v>
      </c>
      <c r="R32" s="1">
        <v>16.690000000000001</v>
      </c>
      <c r="S32" s="1">
        <v>0</v>
      </c>
      <c r="T32" s="1">
        <v>0</v>
      </c>
      <c r="U32" s="1">
        <v>2974.75</v>
      </c>
      <c r="V32" s="1">
        <v>79.400000000000006</v>
      </c>
      <c r="W32">
        <v>0</v>
      </c>
      <c r="X32">
        <v>13</v>
      </c>
      <c r="Y32">
        <v>0</v>
      </c>
      <c r="Z32">
        <v>0</v>
      </c>
      <c r="AA32">
        <f t="shared" si="2"/>
        <v>13</v>
      </c>
      <c r="AB32">
        <v>20536</v>
      </c>
      <c r="AC32">
        <v>166</v>
      </c>
      <c r="AD32">
        <f t="shared" si="3"/>
        <v>49</v>
      </c>
      <c r="AE32">
        <v>1</v>
      </c>
      <c r="AF32">
        <v>5</v>
      </c>
      <c r="AG32">
        <v>28</v>
      </c>
      <c r="AH32">
        <v>15</v>
      </c>
    </row>
    <row r="33" spans="1:34" x14ac:dyDescent="0.25">
      <c r="A33">
        <v>1430000</v>
      </c>
      <c r="B33" s="2" t="str">
        <f t="shared" si="1"/>
        <v>30</v>
      </c>
      <c r="C33" t="s">
        <v>59</v>
      </c>
      <c r="D33" s="1">
        <v>844.53</v>
      </c>
      <c r="E33" s="1">
        <v>828.8</v>
      </c>
      <c r="F33" s="1">
        <v>628997.32999999996</v>
      </c>
      <c r="G33" s="1">
        <v>1692</v>
      </c>
      <c r="H33" s="1">
        <v>2</v>
      </c>
      <c r="I33" s="1">
        <v>3760.8</v>
      </c>
      <c r="J33" s="1">
        <v>0</v>
      </c>
      <c r="K33" s="1">
        <v>2709</v>
      </c>
      <c r="L33" s="1">
        <v>17.899999999999999</v>
      </c>
      <c r="M33" s="1">
        <v>824</v>
      </c>
      <c r="N33" s="1">
        <v>20.239999999999998</v>
      </c>
      <c r="O33" s="1">
        <v>22</v>
      </c>
      <c r="P33" s="1">
        <v>38</v>
      </c>
      <c r="Q33" s="1">
        <v>0.04</v>
      </c>
      <c r="R33" s="1">
        <v>5.78</v>
      </c>
      <c r="S33" s="1">
        <v>0</v>
      </c>
      <c r="T33" s="1">
        <v>0</v>
      </c>
      <c r="U33" s="1">
        <v>2949.78</v>
      </c>
      <c r="V33" s="1">
        <v>78.8</v>
      </c>
      <c r="W33">
        <v>0</v>
      </c>
      <c r="X33">
        <v>4</v>
      </c>
      <c r="Y33">
        <v>0</v>
      </c>
      <c r="Z33">
        <v>0</v>
      </c>
      <c r="AA33">
        <f t="shared" si="2"/>
        <v>4</v>
      </c>
      <c r="AB33">
        <v>12795</v>
      </c>
      <c r="AC33">
        <v>72</v>
      </c>
      <c r="AD33">
        <f t="shared" si="3"/>
        <v>36</v>
      </c>
      <c r="AE33">
        <v>0</v>
      </c>
      <c r="AF33">
        <v>3</v>
      </c>
      <c r="AG33">
        <v>26</v>
      </c>
      <c r="AH33">
        <v>7</v>
      </c>
    </row>
    <row r="34" spans="1:34" x14ac:dyDescent="0.25">
      <c r="A34">
        <v>1432000</v>
      </c>
      <c r="B34" s="2" t="str">
        <f t="shared" si="1"/>
        <v>32</v>
      </c>
      <c r="C34" t="s">
        <v>51</v>
      </c>
      <c r="D34" s="1">
        <v>1002.97</v>
      </c>
      <c r="E34" s="1">
        <v>1028.5</v>
      </c>
      <c r="F34" s="1">
        <v>2631591.87</v>
      </c>
      <c r="G34" s="1">
        <v>4891</v>
      </c>
      <c r="H34" s="1">
        <v>2</v>
      </c>
      <c r="I34" s="1">
        <v>1290.0999999999999</v>
      </c>
      <c r="J34" s="1">
        <v>457</v>
      </c>
      <c r="K34" s="1">
        <v>6090</v>
      </c>
      <c r="L34" s="1">
        <v>26.7</v>
      </c>
      <c r="M34" s="1">
        <v>2621</v>
      </c>
      <c r="N34" s="1">
        <v>24.07</v>
      </c>
      <c r="O34" s="1">
        <v>362</v>
      </c>
      <c r="P34" s="1">
        <v>6.6</v>
      </c>
      <c r="Q34" s="1">
        <v>0.26</v>
      </c>
      <c r="R34" s="1">
        <v>5.49</v>
      </c>
      <c r="S34" s="1">
        <v>0</v>
      </c>
      <c r="T34" s="1">
        <v>0</v>
      </c>
      <c r="U34" s="1">
        <v>4050.54</v>
      </c>
      <c r="V34" s="1">
        <v>108.2</v>
      </c>
      <c r="W34">
        <v>2</v>
      </c>
      <c r="X34">
        <v>16</v>
      </c>
      <c r="Y34">
        <v>0</v>
      </c>
      <c r="Z34">
        <v>1</v>
      </c>
      <c r="AA34">
        <f t="shared" si="2"/>
        <v>19</v>
      </c>
      <c r="AB34">
        <v>40864</v>
      </c>
      <c r="AC34">
        <v>442</v>
      </c>
      <c r="AD34">
        <f t="shared" si="3"/>
        <v>49</v>
      </c>
      <c r="AE34">
        <v>1</v>
      </c>
      <c r="AF34">
        <v>6</v>
      </c>
      <c r="AG34">
        <v>25</v>
      </c>
      <c r="AH34">
        <v>17</v>
      </c>
    </row>
    <row r="35" spans="1:34" x14ac:dyDescent="0.25">
      <c r="A35">
        <v>1433000</v>
      </c>
      <c r="B35" s="2" t="str">
        <f t="shared" si="1"/>
        <v>33</v>
      </c>
      <c r="C35" t="s">
        <v>61</v>
      </c>
      <c r="D35" s="1">
        <v>817.27</v>
      </c>
      <c r="E35" s="1">
        <v>822.96</v>
      </c>
      <c r="F35" s="1">
        <v>788163.95</v>
      </c>
      <c r="G35" s="1">
        <v>977</v>
      </c>
      <c r="H35" s="1">
        <v>2</v>
      </c>
      <c r="I35" s="1">
        <v>2093.3000000000002</v>
      </c>
      <c r="J35" s="1">
        <v>242</v>
      </c>
      <c r="K35" s="1">
        <v>2512</v>
      </c>
      <c r="L35" s="1">
        <v>17.5</v>
      </c>
      <c r="M35" s="1">
        <v>1776</v>
      </c>
      <c r="N35" s="1">
        <v>26.15</v>
      </c>
      <c r="O35" s="1">
        <v>27</v>
      </c>
      <c r="P35" s="1">
        <v>15.7</v>
      </c>
      <c r="Q35" s="1">
        <v>0.1</v>
      </c>
      <c r="R35" s="1">
        <v>7.75</v>
      </c>
      <c r="S35" s="1">
        <v>72</v>
      </c>
      <c r="T35" s="1">
        <v>55</v>
      </c>
      <c r="U35" s="1">
        <v>2970.76</v>
      </c>
      <c r="V35" s="1">
        <v>79.3</v>
      </c>
      <c r="W35">
        <v>0</v>
      </c>
      <c r="X35">
        <v>7</v>
      </c>
      <c r="Y35">
        <v>0</v>
      </c>
      <c r="Z35">
        <v>1</v>
      </c>
      <c r="AA35">
        <f t="shared" si="2"/>
        <v>8</v>
      </c>
      <c r="AB35">
        <v>24001</v>
      </c>
      <c r="AC35">
        <v>161</v>
      </c>
      <c r="AD35">
        <f t="shared" si="3"/>
        <v>67</v>
      </c>
      <c r="AE35">
        <v>3</v>
      </c>
      <c r="AF35">
        <v>12</v>
      </c>
      <c r="AG35">
        <v>37</v>
      </c>
      <c r="AH35">
        <v>15</v>
      </c>
    </row>
    <row r="36" spans="1:34" x14ac:dyDescent="0.25">
      <c r="A36">
        <v>1434000</v>
      </c>
      <c r="B36" s="2" t="str">
        <f t="shared" si="1"/>
        <v>34</v>
      </c>
      <c r="C36" t="s">
        <v>64</v>
      </c>
      <c r="D36" s="1">
        <v>669.51</v>
      </c>
      <c r="E36" s="1">
        <v>668.29</v>
      </c>
      <c r="F36" s="1">
        <v>3918722.03</v>
      </c>
      <c r="G36" s="1">
        <v>2139</v>
      </c>
      <c r="H36" s="1">
        <v>2</v>
      </c>
      <c r="I36" s="1">
        <v>118.6</v>
      </c>
      <c r="J36" s="1">
        <v>564</v>
      </c>
      <c r="K36" s="1">
        <v>5786</v>
      </c>
      <c r="L36" s="1">
        <v>17.399999999999999</v>
      </c>
      <c r="M36" s="1">
        <v>5910</v>
      </c>
      <c r="N36" s="1">
        <v>26.35</v>
      </c>
      <c r="O36" s="1">
        <v>510</v>
      </c>
      <c r="P36" s="1">
        <v>15.7</v>
      </c>
      <c r="Q36" s="1">
        <v>0.25</v>
      </c>
      <c r="R36" s="1">
        <v>4.0199999999999996</v>
      </c>
      <c r="S36" s="1">
        <v>104</v>
      </c>
      <c r="T36" s="1">
        <v>45</v>
      </c>
      <c r="U36" s="1">
        <v>3447.14</v>
      </c>
      <c r="V36" s="1">
        <v>92.1</v>
      </c>
      <c r="W36">
        <v>4</v>
      </c>
      <c r="X36">
        <v>25</v>
      </c>
      <c r="Y36">
        <v>0</v>
      </c>
      <c r="Z36">
        <v>3</v>
      </c>
      <c r="AA36">
        <f t="shared" si="2"/>
        <v>32</v>
      </c>
      <c r="AB36">
        <v>75800</v>
      </c>
      <c r="AC36">
        <v>443</v>
      </c>
      <c r="AD36">
        <f t="shared" si="3"/>
        <v>143</v>
      </c>
      <c r="AE36">
        <v>8</v>
      </c>
      <c r="AF36">
        <v>25</v>
      </c>
      <c r="AG36">
        <v>69</v>
      </c>
      <c r="AH36">
        <v>41</v>
      </c>
    </row>
    <row r="37" spans="1:34" x14ac:dyDescent="0.25">
      <c r="A37">
        <v>1435000</v>
      </c>
      <c r="B37" s="2" t="str">
        <f t="shared" si="1"/>
        <v>35</v>
      </c>
      <c r="C37" t="s">
        <v>52</v>
      </c>
      <c r="D37" s="1">
        <v>1017.92</v>
      </c>
      <c r="E37" s="1">
        <v>1011.68</v>
      </c>
      <c r="F37" s="1">
        <v>3089382.94</v>
      </c>
      <c r="G37" s="1">
        <v>2143</v>
      </c>
      <c r="H37" s="1">
        <v>0</v>
      </c>
      <c r="I37" s="1">
        <v>0</v>
      </c>
      <c r="J37" s="1">
        <v>1393</v>
      </c>
      <c r="K37" s="1">
        <v>3691</v>
      </c>
      <c r="L37" s="1">
        <v>18.600000000000001</v>
      </c>
      <c r="M37" s="1">
        <v>2274</v>
      </c>
      <c r="N37" s="1">
        <v>30.82</v>
      </c>
      <c r="O37" s="1">
        <v>24</v>
      </c>
      <c r="P37" s="1">
        <v>15.1</v>
      </c>
      <c r="Q37" s="1">
        <v>0.09</v>
      </c>
      <c r="R37" s="1">
        <v>4.82</v>
      </c>
      <c r="S37" s="1">
        <v>527</v>
      </c>
      <c r="T37" s="1">
        <v>331</v>
      </c>
      <c r="U37" s="1">
        <v>3119.46</v>
      </c>
      <c r="V37" s="1">
        <v>83.3</v>
      </c>
      <c r="W37">
        <v>0</v>
      </c>
      <c r="X37">
        <v>13</v>
      </c>
      <c r="Y37">
        <v>0</v>
      </c>
      <c r="Z37">
        <v>1</v>
      </c>
      <c r="AA37">
        <f t="shared" si="2"/>
        <v>14</v>
      </c>
      <c r="AB37">
        <v>22260</v>
      </c>
      <c r="AC37">
        <v>333</v>
      </c>
      <c r="AD37">
        <f t="shared" si="3"/>
        <v>79</v>
      </c>
      <c r="AE37">
        <v>8</v>
      </c>
      <c r="AF37">
        <v>14</v>
      </c>
      <c r="AG37">
        <v>42</v>
      </c>
      <c r="AH37">
        <v>15</v>
      </c>
    </row>
    <row r="38" spans="1:34" x14ac:dyDescent="0.25">
      <c r="A38">
        <v>1436000</v>
      </c>
      <c r="B38" s="2" t="str">
        <f t="shared" si="1"/>
        <v>36</v>
      </c>
      <c r="C38" t="s">
        <v>65</v>
      </c>
      <c r="D38" s="1">
        <v>826.35</v>
      </c>
      <c r="E38" s="1">
        <v>807.82</v>
      </c>
      <c r="F38" s="1">
        <v>1987624.81</v>
      </c>
      <c r="G38" s="1">
        <v>600</v>
      </c>
      <c r="H38" s="1">
        <v>2</v>
      </c>
      <c r="I38" s="1">
        <v>8424.4</v>
      </c>
      <c r="J38" s="1">
        <v>0</v>
      </c>
      <c r="K38" s="1">
        <v>2648</v>
      </c>
      <c r="L38" s="1">
        <v>16.899999999999999</v>
      </c>
      <c r="M38" s="1">
        <v>704</v>
      </c>
      <c r="N38" s="1">
        <v>18.98</v>
      </c>
      <c r="O38" s="1">
        <v>4</v>
      </c>
      <c r="P38" s="1">
        <v>21.9</v>
      </c>
      <c r="Q38" s="1">
        <v>0.01</v>
      </c>
      <c r="R38" s="1">
        <v>2.12</v>
      </c>
      <c r="S38" s="1">
        <v>0</v>
      </c>
      <c r="T38" s="1">
        <v>0</v>
      </c>
      <c r="U38" s="1">
        <v>3114.68</v>
      </c>
      <c r="V38" s="1">
        <v>83.2</v>
      </c>
      <c r="W38">
        <v>0</v>
      </c>
      <c r="X38">
        <v>4</v>
      </c>
      <c r="Y38">
        <v>0</v>
      </c>
      <c r="Z38">
        <v>2</v>
      </c>
      <c r="AA38">
        <f t="shared" si="2"/>
        <v>6</v>
      </c>
      <c r="AB38">
        <v>11898</v>
      </c>
      <c r="AC38">
        <v>57</v>
      </c>
      <c r="AD38">
        <f t="shared" si="3"/>
        <v>36</v>
      </c>
      <c r="AE38">
        <v>1</v>
      </c>
      <c r="AF38">
        <v>7</v>
      </c>
      <c r="AG38">
        <v>18</v>
      </c>
      <c r="AH38">
        <v>10</v>
      </c>
    </row>
    <row r="39" spans="1:34" x14ac:dyDescent="0.25">
      <c r="A39">
        <v>1437000</v>
      </c>
      <c r="B39" s="2" t="str">
        <f t="shared" si="1"/>
        <v>37</v>
      </c>
      <c r="C39" t="s">
        <v>66</v>
      </c>
      <c r="D39" s="1">
        <v>1055.3699999999999</v>
      </c>
      <c r="E39" s="1">
        <v>1025.9000000000001</v>
      </c>
      <c r="F39" s="1">
        <v>3436009.07</v>
      </c>
      <c r="G39" s="1">
        <v>610</v>
      </c>
      <c r="H39" s="1">
        <v>1</v>
      </c>
      <c r="I39" s="1">
        <v>413.4</v>
      </c>
      <c r="J39" s="1">
        <v>234</v>
      </c>
      <c r="K39" s="1">
        <v>3358</v>
      </c>
      <c r="L39" s="1">
        <v>12.6</v>
      </c>
      <c r="M39" s="1">
        <v>551</v>
      </c>
      <c r="N39" s="1">
        <v>13.67</v>
      </c>
      <c r="O39" s="1">
        <v>32</v>
      </c>
      <c r="P39" s="1">
        <v>23.3</v>
      </c>
      <c r="Q39" s="1">
        <v>0.03</v>
      </c>
      <c r="R39" s="1">
        <v>4.18</v>
      </c>
      <c r="S39" s="1">
        <v>0</v>
      </c>
      <c r="T39" s="1">
        <v>0</v>
      </c>
      <c r="U39" s="1">
        <v>2923.14</v>
      </c>
      <c r="V39" s="1">
        <v>78.099999999999994</v>
      </c>
      <c r="W39">
        <v>0</v>
      </c>
      <c r="X39">
        <v>3</v>
      </c>
      <c r="Y39">
        <v>0</v>
      </c>
      <c r="Z39">
        <v>0</v>
      </c>
      <c r="AA39">
        <f t="shared" si="2"/>
        <v>3</v>
      </c>
      <c r="AB39">
        <v>11814</v>
      </c>
      <c r="AC39">
        <v>73</v>
      </c>
      <c r="AD39">
        <f t="shared" si="3"/>
        <v>44</v>
      </c>
      <c r="AE39">
        <v>1</v>
      </c>
      <c r="AF39">
        <v>4</v>
      </c>
      <c r="AG39">
        <v>28</v>
      </c>
      <c r="AH39">
        <v>11</v>
      </c>
    </row>
    <row r="40" spans="1:34" x14ac:dyDescent="0.25">
      <c r="A40">
        <v>1438000</v>
      </c>
      <c r="B40" s="2" t="str">
        <f t="shared" si="1"/>
        <v>38</v>
      </c>
      <c r="C40" t="s">
        <v>67</v>
      </c>
      <c r="D40" s="1">
        <v>678.63</v>
      </c>
      <c r="E40" s="1">
        <v>713.26</v>
      </c>
      <c r="F40" s="1">
        <v>1939939.38</v>
      </c>
      <c r="G40" s="1">
        <v>2302</v>
      </c>
      <c r="H40" s="1">
        <v>2</v>
      </c>
      <c r="I40" s="1">
        <v>708.2</v>
      </c>
      <c r="J40" s="1">
        <v>151</v>
      </c>
      <c r="K40" s="1">
        <v>5890</v>
      </c>
      <c r="L40" s="1">
        <v>16.600000000000001</v>
      </c>
      <c r="M40" s="1">
        <v>2150</v>
      </c>
      <c r="N40" s="1">
        <v>28.06</v>
      </c>
      <c r="O40" s="1">
        <v>126</v>
      </c>
      <c r="P40" s="1">
        <v>15.3</v>
      </c>
      <c r="Q40" s="1">
        <v>7.0000000000000007E-2</v>
      </c>
      <c r="R40" s="1">
        <v>3.58</v>
      </c>
      <c r="S40" s="1">
        <v>793</v>
      </c>
      <c r="T40" s="1">
        <v>192</v>
      </c>
      <c r="U40" s="1">
        <v>3541.83</v>
      </c>
      <c r="V40" s="1">
        <v>94.6</v>
      </c>
      <c r="W40">
        <v>1</v>
      </c>
      <c r="X40">
        <v>12</v>
      </c>
      <c r="Y40">
        <v>0</v>
      </c>
      <c r="Z40">
        <v>0</v>
      </c>
      <c r="AA40">
        <f t="shared" si="2"/>
        <v>13</v>
      </c>
      <c r="AB40">
        <v>29587</v>
      </c>
      <c r="AC40">
        <v>165</v>
      </c>
      <c r="AD40">
        <f t="shared" si="3"/>
        <v>55</v>
      </c>
      <c r="AE40">
        <v>1</v>
      </c>
      <c r="AF40">
        <v>11</v>
      </c>
      <c r="AG40">
        <v>28</v>
      </c>
      <c r="AH40">
        <v>15</v>
      </c>
    </row>
    <row r="41" spans="1:34" x14ac:dyDescent="0.25">
      <c r="A41">
        <v>1461000</v>
      </c>
      <c r="B41" s="2" t="str">
        <f t="shared" si="1"/>
        <v>61</v>
      </c>
      <c r="C41" t="s">
        <v>70</v>
      </c>
      <c r="D41" s="3">
        <v>0</v>
      </c>
      <c r="E41" s="3">
        <v>0</v>
      </c>
      <c r="F41" s="3">
        <v>0</v>
      </c>
      <c r="G41" s="1">
        <v>15856</v>
      </c>
      <c r="H41" s="1">
        <v>1</v>
      </c>
      <c r="I41" s="1">
        <v>2152.6999999999998</v>
      </c>
      <c r="J41" s="1">
        <v>138</v>
      </c>
      <c r="K41" s="1">
        <v>7612</v>
      </c>
      <c r="L41" s="1">
        <v>9.6</v>
      </c>
      <c r="M41" s="1">
        <v>3815</v>
      </c>
      <c r="N41" s="1">
        <v>71.48</v>
      </c>
      <c r="O41" s="1">
        <v>77</v>
      </c>
      <c r="P41" s="1">
        <v>15.7</v>
      </c>
      <c r="Q41" s="1">
        <v>0.21</v>
      </c>
      <c r="R41" s="1">
        <v>9.16</v>
      </c>
      <c r="S41" s="1">
        <v>885</v>
      </c>
      <c r="T41" s="1">
        <v>435</v>
      </c>
      <c r="U41" s="1">
        <v>3776.11</v>
      </c>
      <c r="V41" s="1">
        <v>100.8</v>
      </c>
      <c r="W41">
        <v>0</v>
      </c>
      <c r="X41">
        <v>18</v>
      </c>
      <c r="Y41">
        <v>0</v>
      </c>
      <c r="Z41">
        <v>0</v>
      </c>
      <c r="AA41">
        <f t="shared" si="2"/>
        <v>18</v>
      </c>
      <c r="AB41">
        <v>18470</v>
      </c>
      <c r="AC41">
        <v>229</v>
      </c>
      <c r="AD41">
        <f t="shared" si="3"/>
        <v>43</v>
      </c>
      <c r="AE41">
        <v>13</v>
      </c>
      <c r="AF41">
        <v>10</v>
      </c>
      <c r="AG41">
        <v>11</v>
      </c>
      <c r="AH41">
        <v>9</v>
      </c>
    </row>
    <row r="42" spans="1:34" x14ac:dyDescent="0.25">
      <c r="A42">
        <v>1462000</v>
      </c>
      <c r="B42" s="2" t="str">
        <f t="shared" si="1"/>
        <v>62</v>
      </c>
      <c r="C42" t="s">
        <v>71</v>
      </c>
      <c r="D42" s="3">
        <v>0</v>
      </c>
      <c r="E42" s="3">
        <v>0</v>
      </c>
      <c r="F42" s="3">
        <v>0</v>
      </c>
      <c r="G42" s="1">
        <v>8219</v>
      </c>
      <c r="H42" s="1">
        <v>2</v>
      </c>
      <c r="I42" s="1">
        <v>6000.3</v>
      </c>
      <c r="J42" s="1">
        <v>72</v>
      </c>
      <c r="K42" s="1">
        <v>8242</v>
      </c>
      <c r="L42" s="1">
        <v>15.1</v>
      </c>
      <c r="M42" s="1">
        <v>4826</v>
      </c>
      <c r="N42" s="1">
        <v>38.9</v>
      </c>
      <c r="O42" s="1">
        <v>630</v>
      </c>
      <c r="P42" s="1">
        <v>12.8</v>
      </c>
      <c r="Q42" s="1">
        <v>0.54</v>
      </c>
      <c r="R42" s="1">
        <v>8.69</v>
      </c>
      <c r="S42" s="1">
        <v>7943</v>
      </c>
      <c r="T42" s="1">
        <v>2609</v>
      </c>
      <c r="U42" s="1">
        <v>4618.2</v>
      </c>
      <c r="V42" s="1">
        <v>123.3</v>
      </c>
      <c r="W42">
        <v>4</v>
      </c>
      <c r="X42">
        <v>26</v>
      </c>
      <c r="Y42">
        <v>0</v>
      </c>
      <c r="Z42">
        <v>1</v>
      </c>
      <c r="AA42">
        <f t="shared" si="2"/>
        <v>31</v>
      </c>
      <c r="AB42">
        <v>49239</v>
      </c>
      <c r="AC42">
        <v>667</v>
      </c>
      <c r="AD42">
        <f t="shared" si="3"/>
        <v>102</v>
      </c>
      <c r="AE42">
        <v>30</v>
      </c>
      <c r="AF42">
        <v>33</v>
      </c>
      <c r="AG42">
        <v>20</v>
      </c>
      <c r="AH42">
        <v>19</v>
      </c>
    </row>
    <row r="43" spans="1:34" x14ac:dyDescent="0.25">
      <c r="A43">
        <v>1463000</v>
      </c>
      <c r="B43" s="2" t="str">
        <f t="shared" si="1"/>
        <v>63</v>
      </c>
      <c r="C43" t="s">
        <v>68</v>
      </c>
      <c r="D43" s="3">
        <v>0</v>
      </c>
      <c r="E43" s="3">
        <v>0</v>
      </c>
      <c r="F43" s="3">
        <v>0</v>
      </c>
      <c r="G43" s="1">
        <v>1735</v>
      </c>
      <c r="H43" s="1">
        <v>3</v>
      </c>
      <c r="I43" s="1">
        <v>3147.9</v>
      </c>
      <c r="J43" s="1">
        <v>84</v>
      </c>
      <c r="K43" s="1">
        <v>12924</v>
      </c>
      <c r="L43" s="1">
        <v>14.8</v>
      </c>
      <c r="M43" s="1">
        <v>8798</v>
      </c>
      <c r="N43" s="1">
        <v>39.979999999999997</v>
      </c>
      <c r="O43" s="1">
        <v>417</v>
      </c>
      <c r="P43" s="1">
        <v>22.6</v>
      </c>
      <c r="Q43" s="1">
        <v>0.39</v>
      </c>
      <c r="R43" s="1">
        <v>5.07</v>
      </c>
      <c r="S43" s="1">
        <v>13257</v>
      </c>
      <c r="T43" s="1">
        <v>4144</v>
      </c>
      <c r="U43" s="1">
        <v>3411.51</v>
      </c>
      <c r="V43" s="1">
        <v>91.1</v>
      </c>
      <c r="W43">
        <v>5</v>
      </c>
      <c r="X43">
        <v>30</v>
      </c>
      <c r="Y43">
        <v>1</v>
      </c>
      <c r="Z43">
        <v>0</v>
      </c>
      <c r="AA43">
        <f t="shared" si="2"/>
        <v>36</v>
      </c>
      <c r="AB43">
        <v>81326</v>
      </c>
      <c r="AC43">
        <v>627</v>
      </c>
      <c r="AD43">
        <f t="shared" si="3"/>
        <v>124</v>
      </c>
      <c r="AE43">
        <v>25</v>
      </c>
      <c r="AF43">
        <v>36</v>
      </c>
      <c r="AG43">
        <v>35</v>
      </c>
      <c r="AH43">
        <v>28</v>
      </c>
    </row>
    <row r="44" spans="1:34" x14ac:dyDescent="0.25">
      <c r="A44">
        <v>1464000</v>
      </c>
      <c r="B44" s="2" t="str">
        <f t="shared" si="1"/>
        <v>64</v>
      </c>
      <c r="C44" t="s">
        <v>69</v>
      </c>
      <c r="D44" s="3">
        <v>0</v>
      </c>
      <c r="E44" s="3">
        <v>0</v>
      </c>
      <c r="F44" s="3">
        <v>0</v>
      </c>
      <c r="G44" s="1">
        <v>2371</v>
      </c>
      <c r="H44" s="1">
        <v>1</v>
      </c>
      <c r="I44" s="1">
        <v>937.4</v>
      </c>
      <c r="J44" s="1">
        <v>84</v>
      </c>
      <c r="K44" s="1">
        <v>8488</v>
      </c>
      <c r="L44" s="1">
        <v>19.2</v>
      </c>
      <c r="M44" s="1">
        <v>3313</v>
      </c>
      <c r="N44" s="1">
        <v>43.31</v>
      </c>
      <c r="O44" s="1">
        <v>562</v>
      </c>
      <c r="P44" s="1">
        <v>11.5</v>
      </c>
      <c r="Q44" s="1">
        <v>0.28000000000000003</v>
      </c>
      <c r="R44" s="1">
        <v>8.02</v>
      </c>
      <c r="S44" s="1">
        <v>10411</v>
      </c>
      <c r="T44" s="1">
        <v>4467</v>
      </c>
      <c r="U44" s="1">
        <v>3470.66</v>
      </c>
      <c r="V44" s="1">
        <v>92.7</v>
      </c>
      <c r="W44">
        <v>2</v>
      </c>
      <c r="X44">
        <v>21</v>
      </c>
      <c r="Y44">
        <v>1</v>
      </c>
      <c r="Z44">
        <v>1</v>
      </c>
      <c r="AA44">
        <f t="shared" si="2"/>
        <v>25</v>
      </c>
      <c r="AB44">
        <v>30174</v>
      </c>
      <c r="AC44">
        <v>237</v>
      </c>
      <c r="AD44">
        <f t="shared" si="3"/>
        <v>68</v>
      </c>
      <c r="AE44">
        <v>22</v>
      </c>
      <c r="AF44">
        <v>24</v>
      </c>
      <c r="AG44">
        <v>11</v>
      </c>
      <c r="AH44">
        <v>11</v>
      </c>
    </row>
    <row r="45" spans="1:34" x14ac:dyDescent="0.25">
      <c r="A45">
        <v>1465000</v>
      </c>
      <c r="B45" s="2" t="str">
        <f t="shared" si="1"/>
        <v>65</v>
      </c>
      <c r="C45" t="s">
        <v>72</v>
      </c>
      <c r="D45" s="3">
        <v>0</v>
      </c>
      <c r="E45" s="3">
        <v>0</v>
      </c>
      <c r="F45" s="3">
        <v>0</v>
      </c>
      <c r="G45" s="1">
        <v>10508</v>
      </c>
      <c r="H45" s="1">
        <v>61</v>
      </c>
      <c r="I45" s="1">
        <v>34800.699999999997</v>
      </c>
      <c r="J45" s="1">
        <v>57</v>
      </c>
      <c r="K45" s="1">
        <v>6548</v>
      </c>
      <c r="L45" s="1">
        <v>14.6</v>
      </c>
      <c r="M45" s="1">
        <v>57087</v>
      </c>
      <c r="N45" s="1">
        <v>33.36</v>
      </c>
      <c r="O45" s="1">
        <v>10604</v>
      </c>
      <c r="P45" s="1">
        <v>4.3</v>
      </c>
      <c r="Q45" s="1">
        <v>6.26</v>
      </c>
      <c r="R45" s="1">
        <v>5.29</v>
      </c>
      <c r="S45" s="1">
        <v>268555</v>
      </c>
      <c r="T45" s="1">
        <v>69272</v>
      </c>
      <c r="U45" s="1">
        <v>5077.53</v>
      </c>
      <c r="V45" s="1">
        <v>135.6</v>
      </c>
      <c r="W45">
        <v>41</v>
      </c>
      <c r="X45">
        <v>193</v>
      </c>
      <c r="Y45">
        <v>4</v>
      </c>
      <c r="Z45">
        <v>23</v>
      </c>
      <c r="AA45">
        <f t="shared" si="2"/>
        <v>261</v>
      </c>
      <c r="AB45">
        <v>872587</v>
      </c>
      <c r="AC45">
        <v>4979</v>
      </c>
      <c r="AD45">
        <f t="shared" si="3"/>
        <v>859</v>
      </c>
      <c r="AE45">
        <v>105</v>
      </c>
      <c r="AF45">
        <v>204</v>
      </c>
      <c r="AG45">
        <v>311</v>
      </c>
      <c r="AH45">
        <v>239</v>
      </c>
    </row>
    <row r="48" spans="1:34" x14ac:dyDescent="0.25">
      <c r="D48" s="1"/>
    </row>
    <row r="49" spans="4:4" x14ac:dyDescent="0.25">
      <c r="D49" s="1"/>
    </row>
    <row r="50" spans="4:4" x14ac:dyDescent="0.25">
      <c r="D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 Wieliński</dc:creator>
  <cp:lastModifiedBy>Aleksander Wieliński</cp:lastModifiedBy>
  <dcterms:created xsi:type="dcterms:W3CDTF">2015-06-05T18:17:20Z</dcterms:created>
  <dcterms:modified xsi:type="dcterms:W3CDTF">2024-06-01T14:22:31Z</dcterms:modified>
</cp:coreProperties>
</file>